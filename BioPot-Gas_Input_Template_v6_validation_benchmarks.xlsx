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C6F9ADD9-5FF7-47AA-9FE5-15AAF138ECD3}" xr6:coauthVersionLast="47" xr6:coauthVersionMax="47" xr10:uidLastSave="{00000000-0000-0000-0000-000000000000}"/>
  <bookViews>
    <workbookView xWindow="-36" yWindow="-12540" windowWidth="22320" windowHeight="11928" firstSheet="2" activeTab="5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definedNames>
    <definedName name="mass">'01_INPUTS'!$AC$4:$AC$9</definedName>
    <definedName name="molar">'01_INPUTS'!$AB$4:$AB$7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<sst xmlns="http://schemas.openxmlformats.org/spreadsheetml/2006/main" count="585" uniqueCount="378">
  <si>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</si>
  <si>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</si>
  <si>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</si>
  <si>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</si>
  <si>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</si>
  <si>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</si>
  <si>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</si>
  <si>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</si>
  <si>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</si>
  <si>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</si>
  <si>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</si>
  <si>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</si>
  <si>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</si>
  <si>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</si>
  <si>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</si>
  <si>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</si>
  <si>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</si>
  <si>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</si>
  <si>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</si>
  <si>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</si>
  <si>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</si>
  <si>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</si>
  <si>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</si>
  <si>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</si>
  <si>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</si>
  <si>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</si>
  <si>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</si>
  <si>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</si>
  <si>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</si>
  <si>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</si>
  <si>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carbon_conversion</t>
  </si>
  <si>
    <t>TRUE</t>
  </si>
  <si>
    <t>FALSE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</si>
  <si>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</si>
  <si>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</si>
  <si>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</si>
  <si>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</si>
  <si>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</si>
  <si>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</si>
  <si>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Tabela de componentes, substratos e água disponível</t>
  </si>
  <si>
    <t>component_name</t>
  </si>
  <si>
    <t>category</t>
  </si>
  <si>
    <t>degradable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</si>
  <si>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</si>
  <si>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</si>
  <si>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</si>
  <si>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</si>
  <si>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</si>
  <si>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</si>
  <si>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</si>
  <si>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</si>
  <si>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</si>
  <si>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</si>
  <si>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</si>
  <si>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</si>
  <si>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</si>
  <si>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</si>
  <si>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</si>
  <si>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</si>
  <si>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</si>
  <si>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</si>
  <si>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</si>
  <si>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</si>
  <si>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</si>
  <si>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</si>
  <si>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</si>
  <si>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</si>
  <si>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</si>
  <si>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</si>
  <si>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</si>
  <si>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</si>
  <si>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</si>
  <si>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</si>
  <si>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</si>
  <si>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</si>
  <si>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</si>
  <si>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</si>
  <si>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</si>
  <si>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</si>
  <si>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</si>
  <si>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</si>
  <si>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</si>
  <si>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</si>
  <si>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</si>
  <si>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</si>
  <si>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</si>
  <si>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</si>
  <si>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</si>
  <si>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</si>
  <si>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</si>
  <si>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</si>
  <si>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</si>
  <si>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</si>
  <si>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</si>
  <si>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</si>
  <si>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</si>
  <si>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</si>
  <si>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</si>
  <si>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</si>
  <si>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</si>
  <si>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</si>
  <si>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</si>
  <si>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</si>
  <si>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</si>
  <si>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</si>
  <si>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</si>
  <si>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</si>
  <si>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</si>
  <si>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</si>
  <si>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</si>
  <si>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</si>
  <si>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</si>
  <si>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CH4_energy_LHV_kWh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</si>
  <si>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</si>
  <si>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</si>
  <si>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</si>
  <si>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</si>
  <si>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</si>
  <si>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</si>
  <si>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</si>
  <si>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</si>
  <si>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</si>
  <si>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</si>
  <si>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</si>
  <si>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</si>
  <si>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</si>
  <si>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</si>
  <si>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</si>
  <si>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</si>
  <si>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</si>
  <si>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</si>
  <si>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</si>
  <si>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</si>
  <si>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</si>
  <si>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</si>
  <si>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</si>
  <si>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</si>
  <si>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</si>
  <si>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</si>
  <si>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</si>
  <si>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</si>
  <si>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</si>
  <si>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</si>
  <si>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</si>
  <si>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</si>
  <si>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</si>
  <si>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</si>
  <si>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</si>
  <si>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</si>
  <si>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</si>
  <si>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</si>
  <si>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</si>
  <si>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</si>
  <si>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</si>
  <si>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</si>
  <si>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</si>
  <si>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</si>
  <si>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</si>
  <si>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</si>
  <si>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</si>
  <si>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</si>
  <si>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</si>
  <si>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</si>
  <si>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</si>
  <si>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</si>
  <si>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</si>
  <si>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</si>
  <si>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</si>
  <si>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</si>
  <si>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</si>
  <si>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</si>
  <si>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</si>
  <si>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</si>
  <si>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</si>
  <si>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</si>
  <si>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</si>
  <si>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</si>
  <si>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</si>
  <si>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</si>
  <si>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</si>
  <si>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</si>
  <si>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</si>
  <si>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</si>
  <si>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</si>
  <si>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</si>
  <si>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</si>
  <si>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</si>
  <si>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</si>
  <si>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</si>
  <si>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</si>
  <si>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</si>
  <si>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</si>
  <si>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</si>
  <si>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</si>
  <si>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</si>
  <si>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</si>
  <si>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</si>
  <si>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</si>
  <si>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</si>
  <si>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</si>
  <si>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</si>
  <si>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</si>
  <si>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</si>
  <si>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</si>
  <si>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</si>
  <si>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</si>
  <si>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</si>
  <si>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</si>
  <si>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</si>
  <si>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</si>
  <si>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</si>
  <si>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</si>
  <si>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</si>
  <si>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</si>
  <si>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</si>
  <si>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</si>
  <si>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</si>
  <si>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</si>
  <si>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</si>
  <si>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</si>
  <si>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</si>
  <si>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</si>
  <si>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</si>
  <si>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</si>
  <si>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</si>
  <si>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</si>
  <si>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</si>
  <si>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</si>
  <si>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</si>
  <si>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</si>
  <si>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</si>
  <si>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</si>
  <si>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</si>
  <si>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</si>
  <si>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</si>
  <si>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</si>
  <si>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</si>
  <si>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</si>
  <si>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</si>
  <si>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</si>
  <si>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</si>
  <si>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</si>
  <si>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</si>
  <si>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</si>
  <si>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</si>
  <si>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</si>
  <si>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</si>
  <si>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</si>
  <si>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</si>
  <si>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</si>
  <si>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</si>
  <si>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</si>
  <si>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</si>
  <si>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</si>
  <si>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</si>
  <si>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</si>
  <si>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</si>
  <si>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</si>
  <si>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</si>
  <si>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</si>
  <si>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</si>
  <si>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</si>
  <si>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</si>
  <si>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</si>
  <si>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</si>
  <si>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</si>
  <si>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</si>
  <si>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</si>
  <si>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</si>
  <si>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</si>
  <si>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</si>
  <si>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</si>
  <si>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</si>
  <si>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</si>
  <si>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</si>
  <si>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</si>
  <si>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</si>
  <si>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</si>
  <si>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</si>
  <si>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</si>
  <si>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</si>
  <si>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</si>
  <si>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</si>
  <si>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</si>
  <si>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</si>
  <si>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</si>
  <si>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</si>
  <si>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</si>
  <si>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</si>
  <si>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</si>
  <si>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</si>
  <si>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</si>
  <si>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</si>
  <si>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</si>
  <si>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</si>
  <si>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</si>
  <si>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</si>
  <si>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</si>
  <si>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</si>
  <si>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</si>
  <si>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</si>
  <si>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</si>
  <si>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</si>
  <si>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</si>
  <si>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</si>
  <si>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</si>
  <si>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</si>
  <si>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</si>
  <si>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</si>
  <si>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</si>
  <si>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</si>
  <si>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</si>
  <si>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</si>
  <si>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</si>
  <si>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</si>
  <si>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</si>
  <si>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</si>
  <si>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</si>
  <si>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</si>
  <si>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</si>
  <si>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</si>
  <si>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</si>
  <si>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</si>
  <si>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</si>
  <si>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</si>
  <si>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Esta aba não altera o núcleo computacional. Ela organiza evidências de validação e comparação com literatura.</t>
  </si>
  <si>
    <t>Notas: 
- linhas WATER/H2O representam água disponível no sistema, não substrato orgânico. A água é tratada separadamente no balanço de H2O;
- degradable = TRUE  → entra no cálculo de BMP;
- degradable = FALSE → não entra no cálculo de BMP;</t>
  </si>
  <si>
    <t>Componentes não degradáveis</t>
  </si>
  <si>
    <t>Componentes marcados como degradable = FALSE não contribuem para a geração teórica de biogás no cálculo principal de BMP.</t>
  </si>
  <si>
    <t>O core ignora esses componentes antes da soma elementar usada na equação de Buswell.</t>
  </si>
  <si>
    <t>Esta marcação não representa degradação parcial, cinética de degradação ou fração lentamente biodegradável; é uma exclusão estequiométrica binária.</t>
  </si>
  <si>
    <t>Validação de não negatividade</t>
  </si>
  <si>
    <t>Vazões molares, composições elementares e resultados fisicamente inválidos não devem assumir valores negativos no fluxo padrão.</t>
  </si>
  <si>
    <t>O core rejeita vazões molares negativas, carbon_conversion fora de 0 a 1 e composições que levem a resultados fisicamente inconsistentes.</t>
  </si>
  <si>
    <t>Esta validação é uma regra interna do modelo e não pode ser desativada pela aba 01_INPUTS.</t>
  </si>
  <si>
    <t>mol</t>
  </si>
  <si>
    <t>kmol</t>
  </si>
  <si>
    <t>mol/h</t>
  </si>
  <si>
    <t>input_basis_type</t>
  </si>
  <si>
    <t>input_unit</t>
  </si>
  <si>
    <t>input_quantity</t>
  </si>
  <si>
    <t>mass</t>
  </si>
  <si>
    <t>molar</t>
  </si>
  <si>
    <t>kg</t>
  </si>
  <si>
    <t>g</t>
  </si>
  <si>
    <t>ton</t>
  </si>
  <si>
    <t>kg/h</t>
  </si>
  <si>
    <t>ton/h</t>
  </si>
  <si>
    <t>g/h</t>
  </si>
  <si>
    <t>Carbono inerte reportado</t>
  </si>
  <si>
    <t>inert_carbon_mol representa a fração de carbono degradável que não foi convertida segundo carbon_conversion.</t>
  </si>
  <si>
    <t>O valor é calculado apenas a partir dos componentes degradáveis incluídos no cálculo estequiométrico. Componentes marcados como non-degradable/degradable = FALSE são excluídos do cálculo de Buswell e não contribuem para inert_carbon_mol.</t>
  </si>
  <si>
    <t>Este campo não representa todo o carbono fisicamente inerte presente na alimentação. Ele representa apenas o carbono degradável não convertido pelo fator carbon_conversion.</t>
  </si>
  <si>
    <t>Massa de carbono inerte reportado</t>
  </si>
  <si>
    <t>inert_carbon_mass é a conversão mássica de inert_carbon_mol usando a massa atômica do carbono.</t>
  </si>
  <si>
    <t>Como inert_carbon_mol se refere apenas a carbono não convertido em gás, o valor reportado não se refere à massa molecular do substrato original.</t>
  </si>
  <si>
    <t>A unidade de saída é kg para entradas em quantidade e kg/h para entradas em vazão, calculada a partir da massa atômica do carbono.</t>
  </si>
  <si>
    <t>É necessária manter a consistência entre as unidades dos componentes degradáveis com a água declarada.</t>
  </si>
  <si>
    <t>Base global de entrada</t>
  </si>
  <si>
    <t>input_basis_type e input_unit definem a base usada para todos os valores da coluna input_quantity.</t>
  </si>
  <si>
    <t>O template aceita entradas em base molar ou mássica. Em base molar, são aceitas kmol, mol, kmol/h e mol/h. Em base mássica, são aceitas kg, g, ton, kg/h, g/h e ton/h. O pipeline converte todas as entradas para uma base molar interna antes do cálculo estequiométrico.</t>
  </si>
  <si>
    <t>O template não permite misturar unidades diferentes entre linhas da tabela de componentes. A unidade é global para toda a alimentação.</t>
  </si>
  <si>
    <t>Conversão de entrada mássica para base molar</t>
  </si>
  <si>
    <t>A massa informada em input_quantity é convertida para kg e dividida pela massa molar do componente em kg/kmol. O resultado é uma quantidade molar interna usada pelo core.</t>
  </si>
  <si>
    <t>Para linhas WATER/H2O, a conversão usa a massa molecular da água. Componentes sem composição elementar válida não podem ser convertidos corretamente.</t>
  </si>
  <si>
    <t>O programa permite informar os dados de entrada em base mássica em input_basis_type. Quando input_basis_type = mass, o pipeline calcula a massa molar de cada componente a partir da composição elementar C, H, O, N e S.</t>
  </si>
  <si>
    <t>Unidades de saída padronizadas</t>
  </si>
  <si>
    <t>A coluna Unidade em 02_OUTPUTS é preenchida automaticamente pelo writer conforme basis_time_mode.</t>
  </si>
  <si>
    <t>As unidades de saída são padronizadas por dimensão. A coluna Unidade em 02_OUTPUTS é preenchida automaticamente pelo writer conforme basis_time_mode.</t>
  </si>
  <si>
    <t>Entradas em quantidade geram saídas em kmol, kg, Nm³, MJ e kWh. Entradas em vazão geram saídas em kmol/h, kg/h, Nm³/h, MJ/h e kW. A unidade kW é usada para potência equivalente à kWh/h.</t>
  </si>
  <si>
    <t>Quantidade de entrada</t>
  </si>
  <si>
    <t>O significado físico de input_quantity é definido conjuntamente por input_basis_type e input_unit. O valor pode representar uma quantidade total ou uma vazão, e pode estar em base molar ou mássica.</t>
  </si>
  <si>
    <t>A mesma base de entrada é aplicada globalmente a todas as linhas ativas da tabela de componentes.</t>
  </si>
  <si>
    <t>input_quantity contém o valor numérico da alimentação de cada componente, interpretado segundo input_basis_type e input_unit. Para unidades com /h, input_quantity representa vazão. Para unidades sem /h, input_quantity representa quantidade total.</t>
  </si>
  <si>
    <t>Use input_basis_type e input_unit de forma consistente para todos os componentes ativos. O software interpreta input_quantity como quantidade ou vazão, em base molar ou mássica, converte para kmol ou kmol/h internamente e apresenta as unidades padronizadas na aba 02_OUTPUTS.</t>
  </si>
  <si>
    <t>Base de entrada</t>
  </si>
  <si>
    <t>Base da unidade de entrada. Bases aceitas são mássicas ou molares.</t>
  </si>
  <si>
    <t>Unidade de entrada do input para o cálculo. São aceitos quantidades totais ou taxas (vazão).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</si>
</sst>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8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0" fillId="13" borderId="1" xfId="0" applyFill="1"/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1" fillId="2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wrapText="1"/>
    </xf>
    <xf numFmtId="0" fontId="3" fillId="0" borderId="0" xfId="0" applyFont="1" applyBorder="1" applyAlignment="1">
      <alignment horizontal="left" vertical="top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  <xf numFmtId="0" fontId="2" fillId="0" borderId="1" xfId="0" applyFont="1" applyBorder="1"/>
    <xf numFmtId="0" fontId="0" fillId="5" borderId="1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zoomScale="85" zoomScaleNormal="85" workbookViewId="0">
      <selection activeCell="A7" sqref="A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6" t="s">
        <v>0</v>
      </c>
      <c r="B1" s="26"/>
      <c r="C1" s="26"/>
      <c r="D1" s="26"/>
      <c r="E1" s="26"/>
      <c r="F1" s="26"/>
      <c r="G1" s="26"/>
      <c r="H1" s="26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375</v>
      </c>
      <c r="B6" s="2" t="s">
        <v>374</v>
      </c>
    </row>
    <row r="7" spans="1:8" ht="29.25">
      <c r="A7" s="1" t="s">
        <v>7</v>
      </c>
      <c r="B7" s="2" t="s">
        <v>8</v>
      </c>
    </row>
    <row r="8" spans="1:8" ht="29.25">
      <c r="A8" s="1" t="s">
        <v>9</v>
      </c>
      <c r="B8" s="2" t="s">
        <v>10</v>
      </c>
    </row>
    <row r="9" spans="1:8" ht="29.25">
      <c r="A9" s="1" t="s">
        <v>11</v>
      </c>
      <c r="B9" s="2" t="s">
        <v>12</v>
      </c>
    </row>
    <row r="10" spans="1:8" ht="15">
      <c r="A10" s="1" t="s">
        <v>13</v>
      </c>
      <c r="B10" s="2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7"/>
  <sheetViews>
    <sheetView zoomScale="85" zoomScaleNormal="85" workbookViewId="0">
      <selection activeCell="G8" sqref="G8"/>
    </sheetView>
  </sheetViews>
  <sheetFormatPr defaultRowHeight="14.25"/>
  <cols>
    <col min="1" max="1" width="22" style="7" customWidth="1"/>
    <col min="2" max="2" width="18" style="7" customWidth="1"/>
    <col min="3" max="3" width="12" style="7" customWidth="1"/>
    <col min="4" max="4" width="13.75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  <col min="27" max="29" width="0" hidden="1" customWidth="1"/>
  </cols>
  <sheetData>
    <row r="1" spans="1:29" ht="18">
      <c r="A1" s="26" t="s">
        <v>15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29" ht="15">
      <c r="A3" s="27" t="s">
        <v>16</v>
      </c>
      <c r="B3" s="27"/>
      <c r="C3" s="27"/>
      <c r="D3" s="27"/>
      <c r="AA3" t="s">
        <v>338</v>
      </c>
      <c r="AB3" t="s">
        <v>342</v>
      </c>
      <c r="AC3" t="s">
        <v>341</v>
      </c>
    </row>
    <row r="4" spans="1:29" ht="45">
      <c r="A4" s="3" t="s">
        <v>17</v>
      </c>
      <c r="B4" s="3" t="s">
        <v>18</v>
      </c>
      <c r="C4" s="3" t="s">
        <v>19</v>
      </c>
      <c r="D4" s="3" t="s">
        <v>20</v>
      </c>
      <c r="AA4" t="s">
        <v>342</v>
      </c>
      <c r="AB4" t="s">
        <v>335</v>
      </c>
      <c r="AC4" t="s">
        <v>345</v>
      </c>
    </row>
    <row r="5" spans="1:29" ht="57.75">
      <c r="A5" s="4" t="s">
        <v>21</v>
      </c>
      <c r="B5" s="5" t="s">
        <v>22</v>
      </c>
      <c r="C5" s="2" t="s">
        <v>23</v>
      </c>
      <c r="D5" t="s">
        <v>24</v>
      </c>
      <c r="AA5" t="s">
        <v>341</v>
      </c>
      <c r="AB5" t="s">
        <v>336</v>
      </c>
      <c r="AC5" t="s">
        <v>343</v>
      </c>
    </row>
    <row r="6" spans="1:29" ht="43.5">
      <c r="A6" s="4" t="s">
        <v>25</v>
      </c>
      <c r="B6" s="5" t="s">
        <v>26</v>
      </c>
      <c r="C6" s="2" t="s">
        <v>27</v>
      </c>
      <c r="D6" t="s">
        <v>24</v>
      </c>
      <c r="AB6" t="s">
        <v>337</v>
      </c>
      <c r="AC6" t="s">
        <v>344</v>
      </c>
    </row>
    <row r="7" spans="1:29" s="15" customFormat="1" ht="100.5">
      <c r="A7" s="35" t="s">
        <v>338</v>
      </c>
      <c r="B7" s="36" t="s">
        <v>342</v>
      </c>
      <c r="C7" s="19" t="s">
        <v>376</v>
      </c>
      <c r="D7" s="15" t="s">
        <v>20</v>
      </c>
      <c r="AB7" t="s">
        <v>29</v>
      </c>
      <c r="AC7" t="s">
        <v>347</v>
      </c>
    </row>
    <row r="8" spans="1:29" ht="129">
      <c r="A8" s="4" t="s">
        <v>339</v>
      </c>
      <c r="B8" s="5" t="s">
        <v>29</v>
      </c>
      <c r="C8" s="2" t="s">
        <v>377</v>
      </c>
      <c r="D8" t="s">
        <v>20</v>
      </c>
      <c r="AB8" s="15"/>
      <c r="AC8" s="15" t="s">
        <v>346</v>
      </c>
    </row>
    <row r="9" spans="1:29" ht="72">
      <c r="A9" s="4" t="s">
        <v>30</v>
      </c>
      <c r="B9" s="5">
        <v>0.95</v>
      </c>
      <c r="C9" s="2" t="s">
        <v>199</v>
      </c>
      <c r="D9" t="s">
        <v>20</v>
      </c>
      <c r="AC9" s="37" t="s">
        <v>348</v>
      </c>
    </row>
    <row r="10" spans="1:29" ht="43.5">
      <c r="A10" s="4" t="s">
        <v>33</v>
      </c>
      <c r="B10" s="5">
        <v>0</v>
      </c>
      <c r="C10" s="2" t="s">
        <v>34</v>
      </c>
      <c r="D10" t="s">
        <v>20</v>
      </c>
    </row>
    <row r="11" spans="1:29" ht="29.25">
      <c r="A11" s="4" t="s">
        <v>35</v>
      </c>
      <c r="B11" s="5">
        <v>101.325</v>
      </c>
      <c r="C11" s="2" t="s">
        <v>36</v>
      </c>
      <c r="D11" t="s">
        <v>20</v>
      </c>
    </row>
    <row r="14" spans="1:29" ht="62.25" customHeight="1">
      <c r="A14" s="28" t="s">
        <v>326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</row>
    <row r="15" spans="1:29" ht="15">
      <c r="A15" s="27" t="s">
        <v>39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spans="1:29" ht="15">
      <c r="A16" s="3" t="s">
        <v>40</v>
      </c>
      <c r="B16" s="3" t="s">
        <v>41</v>
      </c>
      <c r="C16" s="3" t="s">
        <v>42</v>
      </c>
      <c r="D16" s="3" t="s">
        <v>340</v>
      </c>
      <c r="E16" s="3" t="s">
        <v>43</v>
      </c>
      <c r="F16" s="3" t="s">
        <v>44</v>
      </c>
      <c r="G16" s="3" t="s">
        <v>45</v>
      </c>
      <c r="H16" s="3" t="s">
        <v>46</v>
      </c>
      <c r="I16" s="3" t="s">
        <v>47</v>
      </c>
      <c r="J16" s="3" t="s">
        <v>48</v>
      </c>
      <c r="K16" s="3" t="s">
        <v>49</v>
      </c>
      <c r="L16" s="3" t="s">
        <v>50</v>
      </c>
      <c r="M16" s="3" t="s">
        <v>51</v>
      </c>
      <c r="N16" s="3" t="s">
        <v>52</v>
      </c>
    </row>
    <row r="17" spans="1:14" s="15" customFormat="1" ht="28.5">
      <c r="A17" s="16" t="s">
        <v>293</v>
      </c>
      <c r="B17" s="16" t="s">
        <v>294</v>
      </c>
      <c r="C17" s="17" t="b">
        <v>0</v>
      </c>
      <c r="D17" s="16">
        <v>0</v>
      </c>
      <c r="E17" s="16" t="s">
        <v>295</v>
      </c>
      <c r="F17" s="16"/>
      <c r="G17" s="16"/>
      <c r="H17" s="16"/>
      <c r="I17" s="16"/>
      <c r="J17" s="16"/>
      <c r="K17" s="16" t="s">
        <v>293</v>
      </c>
      <c r="L17" s="16" t="s">
        <v>68</v>
      </c>
      <c r="M17" s="16" t="s">
        <v>296</v>
      </c>
      <c r="N17" s="17" t="b">
        <v>1</v>
      </c>
    </row>
    <row r="18" spans="1:14">
      <c r="A18" s="6" t="s">
        <v>53</v>
      </c>
      <c r="B18" s="6" t="s">
        <v>54</v>
      </c>
      <c r="C18" s="6" t="s">
        <v>31</v>
      </c>
      <c r="D18" s="6">
        <v>1</v>
      </c>
      <c r="E18" s="6"/>
      <c r="F18" s="6"/>
      <c r="G18" s="6"/>
      <c r="H18" s="6"/>
      <c r="I18" s="6"/>
      <c r="J18" s="6"/>
      <c r="K18" s="6" t="s">
        <v>55</v>
      </c>
      <c r="L18" s="6" t="s">
        <v>56</v>
      </c>
      <c r="M18" s="6" t="s">
        <v>57</v>
      </c>
      <c r="N18" s="6" t="s">
        <v>31</v>
      </c>
    </row>
    <row r="19" spans="1:14">
      <c r="A19" s="6" t="s">
        <v>58</v>
      </c>
      <c r="B19" s="6" t="s">
        <v>54</v>
      </c>
      <c r="C19" s="6" t="s">
        <v>31</v>
      </c>
      <c r="D19" s="6">
        <v>0.5</v>
      </c>
      <c r="E19" s="6"/>
      <c r="F19" s="6"/>
      <c r="G19" s="6"/>
      <c r="H19" s="6"/>
      <c r="I19" s="6"/>
      <c r="J19" s="6"/>
      <c r="K19" s="6" t="s">
        <v>55</v>
      </c>
      <c r="L19" s="6" t="s">
        <v>56</v>
      </c>
      <c r="M19" s="6" t="s">
        <v>57</v>
      </c>
      <c r="N19" s="6" t="s">
        <v>31</v>
      </c>
    </row>
    <row r="20" spans="1:14">
      <c r="A20" s="6" t="s">
        <v>59</v>
      </c>
      <c r="B20" s="6" t="s">
        <v>60</v>
      </c>
      <c r="C20" s="6" t="s">
        <v>31</v>
      </c>
      <c r="D20" s="6">
        <v>0.2</v>
      </c>
      <c r="E20" s="6"/>
      <c r="F20" s="6"/>
      <c r="G20" s="6"/>
      <c r="H20" s="6"/>
      <c r="I20" s="6"/>
      <c r="J20" s="6"/>
      <c r="K20" s="6" t="s">
        <v>55</v>
      </c>
      <c r="L20" s="6" t="s">
        <v>56</v>
      </c>
      <c r="M20" s="6" t="s">
        <v>57</v>
      </c>
      <c r="N20" s="6" t="s">
        <v>31</v>
      </c>
    </row>
    <row r="21" spans="1:14" ht="28.5">
      <c r="A21" s="6" t="s">
        <v>61</v>
      </c>
      <c r="B21" s="6" t="s">
        <v>62</v>
      </c>
      <c r="C21" s="6" t="s">
        <v>32</v>
      </c>
      <c r="D21" s="6">
        <v>0.1</v>
      </c>
      <c r="E21" s="6"/>
      <c r="F21" s="6"/>
      <c r="G21" s="6"/>
      <c r="H21" s="6"/>
      <c r="I21" s="6"/>
      <c r="J21" s="6"/>
      <c r="K21" s="6" t="s">
        <v>55</v>
      </c>
      <c r="L21" s="6" t="s">
        <v>56</v>
      </c>
      <c r="M21" s="6" t="s">
        <v>63</v>
      </c>
      <c r="N21" s="6" t="s">
        <v>31</v>
      </c>
    </row>
    <row r="22" spans="1:14">
      <c r="A22" s="6" t="s">
        <v>64</v>
      </c>
      <c r="B22" s="6" t="s">
        <v>65</v>
      </c>
      <c r="C22" s="6" t="s">
        <v>31</v>
      </c>
      <c r="D22" s="6">
        <v>0</v>
      </c>
      <c r="E22" s="6" t="s">
        <v>66</v>
      </c>
      <c r="F22" s="6"/>
      <c r="G22" s="6"/>
      <c r="H22" s="6"/>
      <c r="I22" s="6"/>
      <c r="J22" s="6"/>
      <c r="K22" s="6" t="s">
        <v>67</v>
      </c>
      <c r="L22" s="6" t="s">
        <v>68</v>
      </c>
      <c r="M22" s="6" t="s">
        <v>69</v>
      </c>
      <c r="N22" s="6" t="s">
        <v>32</v>
      </c>
    </row>
    <row r="23" spans="1:14">
      <c r="A23" s="6" t="s">
        <v>70</v>
      </c>
      <c r="B23" s="6" t="s">
        <v>65</v>
      </c>
      <c r="C23" s="6" t="s">
        <v>31</v>
      </c>
      <c r="D23" s="6">
        <v>0</v>
      </c>
      <c r="E23" s="6"/>
      <c r="F23" s="6">
        <v>6</v>
      </c>
      <c r="G23" s="6">
        <v>10</v>
      </c>
      <c r="H23" s="6">
        <v>5</v>
      </c>
      <c r="I23" s="6">
        <v>0</v>
      </c>
      <c r="J23" s="6">
        <v>0</v>
      </c>
      <c r="K23" s="6" t="s">
        <v>71</v>
      </c>
      <c r="L23" s="6" t="s">
        <v>68</v>
      </c>
      <c r="M23" s="6" t="s">
        <v>69</v>
      </c>
      <c r="N23" s="6" t="s">
        <v>32</v>
      </c>
    </row>
    <row r="24" spans="1:1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</sheetData>
  <mergeCells count="4">
    <mergeCell ref="A15:N15"/>
    <mergeCell ref="A1:N1"/>
    <mergeCell ref="A3:D3"/>
    <mergeCell ref="A14:K14"/>
  </mergeCells>
  <dataValidations count="4">
    <dataValidation type="list" sqref="C18:C197 N18:N197" xr:uid="{00000000-0002-0000-0100-000000000000}">
      <formula1>"TRUE,FALSE"</formula1>
    </dataValidation>
    <dataValidation type="list" sqref="K18:K197" xr:uid="{00000000-0002-0000-0100-000001000000}">
      <formula1>"DATABASE,FORMULA,ELEMENTS"</formula1>
    </dataValidation>
    <dataValidation type="list" allowBlank="1" showInputMessage="1" showErrorMessage="1" sqref="B8" xr:uid="{A6C2391F-5F62-4932-8555-2C756A0F9999}">
      <formula1>INDIRECT($B$7)</formula1>
    </dataValidation>
    <dataValidation type="list" allowBlank="1" showInputMessage="1" showErrorMessage="1" sqref="B7" xr:uid="{22E2C124-66E9-4DF6-803E-F15A91FD1CEE}">
      <formula1>$AA$4:$AA$5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zoomScale="70" zoomScaleNormal="70" workbookViewId="0">
      <selection activeCell="D70" sqref="D70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30" t="s">
        <v>72</v>
      </c>
      <c r="B1" s="30"/>
      <c r="C1" s="30"/>
    </row>
    <row r="2" spans="1:6" ht="15">
      <c r="A2" s="29" t="s">
        <v>73</v>
      </c>
      <c r="B2" s="29"/>
      <c r="C2" s="29"/>
    </row>
    <row r="3" spans="1:6" ht="15">
      <c r="A3" s="13" t="s">
        <v>74</v>
      </c>
      <c r="B3" s="13" t="s">
        <v>75</v>
      </c>
      <c r="C3" s="13" t="s">
        <v>76</v>
      </c>
      <c r="D3" s="2"/>
      <c r="E3" s="2"/>
      <c r="F3" s="2"/>
    </row>
    <row r="4" spans="1:6" ht="28.5">
      <c r="A4" s="12" t="s">
        <v>17</v>
      </c>
      <c r="B4" s="12" t="str">
        <f>'01_INPUTS'!B4</f>
        <v>Example BioPot-Gas v0.5</v>
      </c>
      <c r="C4" s="12"/>
      <c r="D4" s="2"/>
      <c r="E4" s="2"/>
      <c r="F4" s="2"/>
    </row>
    <row r="5" spans="1:6">
      <c r="A5" s="12" t="s">
        <v>21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25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28</v>
      </c>
      <c r="B7" s="12" t="str">
        <f>'01_INPUTS'!B8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29" t="s">
        <v>77</v>
      </c>
      <c r="B9" s="29"/>
      <c r="C9" s="29"/>
    </row>
    <row r="10" spans="1:6" ht="15">
      <c r="A10" s="13" t="s">
        <v>74</v>
      </c>
      <c r="B10" s="13" t="s">
        <v>75</v>
      </c>
      <c r="C10" s="13" t="s">
        <v>76</v>
      </c>
      <c r="D10" s="2"/>
      <c r="E10" s="2"/>
      <c r="F10" s="2"/>
    </row>
    <row r="11" spans="1:6">
      <c r="A11" s="12" t="s">
        <v>30</v>
      </c>
      <c r="B11" s="12"/>
      <c r="C11" s="12" t="s">
        <v>78</v>
      </c>
      <c r="D11" s="2"/>
      <c r="E11" s="2"/>
      <c r="F11" s="2"/>
    </row>
    <row r="12" spans="1:6">
      <c r="A12" s="12" t="s">
        <v>33</v>
      </c>
      <c r="B12" s="12"/>
      <c r="C12" s="12" t="s">
        <v>79</v>
      </c>
      <c r="D12" s="2"/>
      <c r="E12" s="2"/>
      <c r="F12" s="2"/>
    </row>
    <row r="13" spans="1:6">
      <c r="A13" s="12" t="s">
        <v>35</v>
      </c>
      <c r="B13" s="12"/>
      <c r="C13" s="12" t="s">
        <v>80</v>
      </c>
      <c r="D13" s="2"/>
      <c r="E13" s="2"/>
      <c r="F13" s="2"/>
    </row>
    <row r="14" spans="1:6">
      <c r="A14" s="12" t="s">
        <v>81</v>
      </c>
      <c r="B14" s="12"/>
      <c r="C14" s="12" t="s">
        <v>82</v>
      </c>
      <c r="D14" s="2"/>
      <c r="E14" s="2"/>
      <c r="F14" s="2"/>
    </row>
    <row r="15" spans="1:6">
      <c r="A15" s="7" t="s">
        <v>37</v>
      </c>
      <c r="C15" s="7" t="s">
        <v>83</v>
      </c>
    </row>
    <row r="16" spans="1:6">
      <c r="A16" s="7" t="s">
        <v>38</v>
      </c>
      <c r="C16" s="7" t="s">
        <v>84</v>
      </c>
      <c r="D16" s="2"/>
      <c r="E16" s="2"/>
      <c r="F16" s="2"/>
    </row>
    <row r="17" spans="1:6">
      <c r="A17" s="12" t="s">
        <v>85</v>
      </c>
      <c r="B17" s="12"/>
      <c r="C17" s="12" t="s">
        <v>86</v>
      </c>
      <c r="D17" s="2"/>
      <c r="E17" s="2"/>
      <c r="F17" s="2"/>
    </row>
    <row r="18" spans="1:6">
      <c r="A18" s="12"/>
      <c r="B18" s="12"/>
      <c r="C18" s="12"/>
      <c r="D18" s="2"/>
      <c r="E18" s="2"/>
      <c r="F18" s="2"/>
    </row>
    <row r="19" spans="1:6" ht="15">
      <c r="A19" s="31" t="s">
        <v>87</v>
      </c>
      <c r="B19" s="31"/>
      <c r="C19" s="31"/>
      <c r="D19" s="2"/>
      <c r="E19" s="2"/>
      <c r="F19" s="2"/>
    </row>
    <row r="20" spans="1:6" ht="15">
      <c r="A20" s="14" t="s">
        <v>74</v>
      </c>
      <c r="B20" s="14" t="s">
        <v>75</v>
      </c>
      <c r="C20" s="14" t="s">
        <v>76</v>
      </c>
      <c r="D20" s="2"/>
      <c r="E20" s="2"/>
      <c r="F20" s="2"/>
    </row>
    <row r="21" spans="1:6">
      <c r="A21" s="12" t="s">
        <v>88</v>
      </c>
      <c r="B21" s="12"/>
      <c r="C21" s="12"/>
      <c r="D21" s="2"/>
      <c r="E21" s="2"/>
      <c r="F21" s="2"/>
    </row>
    <row r="22" spans="1:6">
      <c r="A22" s="12" t="s">
        <v>89</v>
      </c>
      <c r="B22" s="12"/>
      <c r="C22" s="12"/>
      <c r="D22" s="2"/>
      <c r="E22" s="2"/>
      <c r="F22" s="2"/>
    </row>
    <row r="23" spans="1:6">
      <c r="A23" s="12" t="s">
        <v>90</v>
      </c>
      <c r="B23" s="12"/>
      <c r="C23" s="12"/>
      <c r="D23" s="2"/>
      <c r="E23" s="2"/>
      <c r="F23" s="2"/>
    </row>
    <row r="24" spans="1:6">
      <c r="A24" s="12" t="s">
        <v>91</v>
      </c>
      <c r="B24" s="12"/>
      <c r="C24" s="12"/>
      <c r="D24" s="2"/>
      <c r="E24" s="2"/>
      <c r="F24" s="2"/>
    </row>
    <row r="25" spans="1:6">
      <c r="A25" s="7" t="s">
        <v>92</v>
      </c>
    </row>
    <row r="26" spans="1:6">
      <c r="A26" s="7" t="s">
        <v>93</v>
      </c>
      <c r="C26" s="7" t="s">
        <v>78</v>
      </c>
      <c r="D26" s="2"/>
      <c r="E26" s="2"/>
      <c r="F26" s="2"/>
    </row>
    <row r="27" spans="1:6">
      <c r="A27" s="12" t="s">
        <v>94</v>
      </c>
      <c r="B27" s="12"/>
      <c r="C27" s="12"/>
      <c r="D27" s="2"/>
      <c r="E27" s="2"/>
      <c r="F27" s="2"/>
    </row>
    <row r="28" spans="1:6">
      <c r="A28" s="12"/>
      <c r="B28" s="12"/>
      <c r="C28" s="12"/>
      <c r="D28" s="2"/>
      <c r="E28" s="2"/>
      <c r="F28" s="2"/>
    </row>
    <row r="29" spans="1:6" ht="15">
      <c r="A29" s="31" t="s">
        <v>95</v>
      </c>
      <c r="B29" s="31"/>
      <c r="C29" s="31"/>
      <c r="D29" s="2"/>
      <c r="E29" s="2"/>
      <c r="F29" s="2"/>
    </row>
    <row r="30" spans="1:6" ht="15">
      <c r="A30" s="14" t="s">
        <v>74</v>
      </c>
      <c r="B30" s="14" t="s">
        <v>75</v>
      </c>
      <c r="C30" s="14" t="s">
        <v>76</v>
      </c>
      <c r="D30" s="2"/>
      <c r="E30" s="2"/>
      <c r="F30" s="2"/>
    </row>
    <row r="31" spans="1:6">
      <c r="A31" s="12" t="s">
        <v>96</v>
      </c>
      <c r="B31" s="12"/>
      <c r="C31" s="12"/>
      <c r="D31" s="2"/>
      <c r="E31" s="2"/>
      <c r="F31" s="2"/>
    </row>
    <row r="32" spans="1:6">
      <c r="A32" s="12" t="s">
        <v>97</v>
      </c>
      <c r="B32" s="12"/>
      <c r="C32" s="12"/>
      <c r="D32" s="2"/>
      <c r="E32" s="2"/>
      <c r="F32" s="2"/>
    </row>
    <row r="33" spans="1:6">
      <c r="A33" s="7" t="s">
        <v>98</v>
      </c>
      <c r="D33" s="2"/>
      <c r="E33" s="2"/>
      <c r="F33" s="2"/>
    </row>
    <row r="34" spans="1:6">
      <c r="A34" s="7" t="s">
        <v>99</v>
      </c>
    </row>
    <row r="35" spans="1:6">
      <c r="A35" s="7" t="s">
        <v>100</v>
      </c>
      <c r="D35" s="2"/>
      <c r="E35" s="2"/>
      <c r="F35" s="2"/>
    </row>
    <row r="36" spans="1:6">
      <c r="A36" s="7" t="s">
        <v>101</v>
      </c>
      <c r="D36" s="2"/>
      <c r="E36" s="2"/>
      <c r="F36" s="2"/>
    </row>
    <row r="37" spans="1:6">
      <c r="A37" s="12"/>
      <c r="B37" s="12"/>
      <c r="C37" s="12"/>
      <c r="D37" s="2"/>
      <c r="E37" s="2"/>
      <c r="F37" s="2"/>
    </row>
    <row r="38" spans="1:6" s="7" customFormat="1" ht="15">
      <c r="A38" s="31" t="s">
        <v>102</v>
      </c>
      <c r="B38" s="31"/>
      <c r="C38" s="31"/>
      <c r="D38" s="2"/>
      <c r="E38" s="2"/>
      <c r="F38" s="2"/>
    </row>
    <row r="39" spans="1:6" ht="15">
      <c r="A39" s="14" t="s">
        <v>74</v>
      </c>
      <c r="B39" s="14" t="s">
        <v>75</v>
      </c>
      <c r="C39" s="14" t="s">
        <v>76</v>
      </c>
      <c r="D39" s="2"/>
      <c r="E39" s="2"/>
      <c r="F39" s="2"/>
    </row>
    <row r="40" spans="1:6">
      <c r="A40" s="7" t="s">
        <v>103</v>
      </c>
    </row>
    <row r="41" spans="1:6">
      <c r="A41" s="7" t="s">
        <v>104</v>
      </c>
      <c r="D41" s="2"/>
      <c r="E41" s="2"/>
      <c r="F41" s="2"/>
    </row>
    <row r="42" spans="1:6">
      <c r="A42" s="7" t="s">
        <v>105</v>
      </c>
      <c r="D42" s="2"/>
      <c r="E42" s="2"/>
      <c r="F42" s="2"/>
    </row>
    <row r="43" spans="1:6">
      <c r="A43" s="7" t="s">
        <v>106</v>
      </c>
      <c r="D43" s="2"/>
      <c r="E43" s="2"/>
      <c r="F43" s="2"/>
    </row>
    <row r="44" spans="1:6">
      <c r="A44" s="12" t="s">
        <v>107</v>
      </c>
      <c r="B44" s="12"/>
      <c r="C44" s="12"/>
      <c r="D44" s="2"/>
      <c r="E44" s="2"/>
      <c r="F44" s="2"/>
    </row>
    <row r="45" spans="1:6">
      <c r="A45" s="12" t="s">
        <v>108</v>
      </c>
      <c r="B45" s="12"/>
      <c r="C45" s="12" t="s">
        <v>109</v>
      </c>
      <c r="D45" s="2"/>
      <c r="E45" s="2"/>
      <c r="F45" s="2"/>
    </row>
    <row r="46" spans="1:6">
      <c r="A46" s="12"/>
      <c r="B46" s="12"/>
      <c r="C46" s="12"/>
      <c r="D46" s="2"/>
      <c r="E46" s="2"/>
      <c r="F46" s="2"/>
    </row>
    <row r="47" spans="1:6" ht="15">
      <c r="A47" s="31" t="s">
        <v>110</v>
      </c>
      <c r="B47" s="31"/>
      <c r="C47" s="31"/>
      <c r="D47" s="2"/>
      <c r="E47" s="2"/>
      <c r="F47" s="2"/>
    </row>
    <row r="48" spans="1:6" ht="15">
      <c r="A48" s="14" t="s">
        <v>74</v>
      </c>
      <c r="B48" s="14" t="s">
        <v>75</v>
      </c>
      <c r="C48" s="14" t="s">
        <v>76</v>
      </c>
      <c r="D48" s="2"/>
      <c r="E48" s="2"/>
      <c r="F48" s="2"/>
    </row>
    <row r="49" spans="1:6">
      <c r="A49" s="12" t="s">
        <v>111</v>
      </c>
      <c r="B49" s="12"/>
      <c r="C49" s="12"/>
      <c r="D49" s="2"/>
      <c r="E49" s="2"/>
      <c r="F49" s="2"/>
    </row>
    <row r="50" spans="1:6">
      <c r="A50" s="12" t="s">
        <v>112</v>
      </c>
      <c r="B50" s="12"/>
      <c r="C50" s="12"/>
      <c r="D50" s="2"/>
      <c r="E50" s="2"/>
      <c r="F50" s="2"/>
    </row>
    <row r="51" spans="1:6">
      <c r="A51" s="12" t="s">
        <v>113</v>
      </c>
      <c r="B51" s="12"/>
      <c r="C51" s="12" t="s">
        <v>114</v>
      </c>
      <c r="D51" s="2"/>
      <c r="E51" s="2"/>
      <c r="F51" s="2"/>
    </row>
    <row r="52" spans="1:6">
      <c r="A52" s="12"/>
      <c r="B52" s="12"/>
      <c r="C52" s="12"/>
      <c r="D52" s="2"/>
      <c r="E52" s="2"/>
      <c r="F52" s="2"/>
    </row>
    <row r="53" spans="1:6" ht="15">
      <c r="A53" s="31" t="s">
        <v>115</v>
      </c>
      <c r="B53" s="31"/>
      <c r="C53" s="31"/>
      <c r="D53" s="2"/>
      <c r="E53" s="2"/>
      <c r="F53" s="2"/>
    </row>
    <row r="54" spans="1:6" ht="15">
      <c r="A54" s="14" t="s">
        <v>74</v>
      </c>
      <c r="B54" s="14" t="s">
        <v>75</v>
      </c>
      <c r="C54" s="14" t="s">
        <v>76</v>
      </c>
      <c r="D54" s="2"/>
      <c r="E54" s="2"/>
      <c r="F54" s="2"/>
    </row>
    <row r="55" spans="1:6">
      <c r="A55" s="12" t="s">
        <v>116</v>
      </c>
      <c r="B55" s="12"/>
      <c r="C55" s="12"/>
      <c r="D55" s="2"/>
      <c r="E55" s="2"/>
      <c r="F55" s="2"/>
    </row>
    <row r="56" spans="1:6">
      <c r="A56" s="12" t="s">
        <v>117</v>
      </c>
      <c r="B56" s="12"/>
      <c r="C56" s="12"/>
      <c r="D56" s="2"/>
      <c r="E56" s="2"/>
      <c r="F56" s="2"/>
    </row>
    <row r="57" spans="1:6">
      <c r="A57" s="12" t="s">
        <v>118</v>
      </c>
      <c r="B57" s="12"/>
      <c r="C57" s="12"/>
      <c r="D57" s="2"/>
      <c r="E57" s="2"/>
      <c r="F57" s="2"/>
    </row>
    <row r="58" spans="1:6">
      <c r="A58" s="12" t="s">
        <v>119</v>
      </c>
      <c r="B58" s="12"/>
      <c r="C58" s="12"/>
      <c r="D58" s="2"/>
      <c r="E58" s="2"/>
      <c r="F58" s="2"/>
    </row>
    <row r="59" spans="1:6">
      <c r="A59" s="12" t="s">
        <v>120</v>
      </c>
      <c r="B59" s="12"/>
      <c r="C59" s="12" t="s">
        <v>121</v>
      </c>
      <c r="D59" s="2"/>
      <c r="E59" s="2"/>
      <c r="F59" s="2"/>
    </row>
    <row r="60" spans="1:6">
      <c r="A60" s="12" t="s">
        <v>122</v>
      </c>
      <c r="B60" s="12"/>
      <c r="C60" s="12" t="s">
        <v>121</v>
      </c>
      <c r="D60" s="2"/>
      <c r="E60" s="2"/>
      <c r="F60" s="2"/>
    </row>
    <row r="61" spans="1:6">
      <c r="A61" s="12"/>
      <c r="B61" s="12"/>
      <c r="C61" s="12"/>
      <c r="D61" s="2"/>
      <c r="E61" s="2"/>
      <c r="F61" s="2"/>
    </row>
    <row r="62" spans="1:6" ht="15">
      <c r="A62" s="31" t="s">
        <v>123</v>
      </c>
      <c r="B62" s="31"/>
      <c r="C62" s="31"/>
      <c r="D62" s="2"/>
      <c r="E62" s="2"/>
      <c r="F62" s="2"/>
    </row>
    <row r="63" spans="1:6" ht="15">
      <c r="A63" s="14" t="s">
        <v>74</v>
      </c>
      <c r="B63" s="14" t="s">
        <v>75</v>
      </c>
      <c r="C63" s="14" t="s">
        <v>76</v>
      </c>
      <c r="D63" s="2"/>
      <c r="E63" s="2"/>
      <c r="F63" s="2"/>
    </row>
    <row r="64" spans="1:6">
      <c r="A64" s="12" t="s">
        <v>124</v>
      </c>
      <c r="B64" s="12"/>
      <c r="C64" s="12" t="s">
        <v>121</v>
      </c>
      <c r="D64" s="2"/>
      <c r="E64" s="2"/>
      <c r="F64" s="2"/>
    </row>
    <row r="65" spans="1:6">
      <c r="A65" s="12" t="s">
        <v>125</v>
      </c>
      <c r="B65" s="12"/>
      <c r="C65" s="12" t="s">
        <v>121</v>
      </c>
      <c r="D65" s="2"/>
      <c r="E65" s="2"/>
      <c r="F65" s="2"/>
    </row>
    <row r="66" spans="1:6">
      <c r="A66" s="12" t="s">
        <v>126</v>
      </c>
      <c r="B66" s="12"/>
      <c r="C66" s="12" t="s">
        <v>121</v>
      </c>
      <c r="D66" s="2"/>
      <c r="E66" s="2"/>
      <c r="F66" s="2"/>
    </row>
    <row r="67" spans="1:6">
      <c r="A67" s="12" t="s">
        <v>127</v>
      </c>
      <c r="B67" s="12"/>
      <c r="C67" s="12" t="s">
        <v>121</v>
      </c>
      <c r="D67" s="2"/>
      <c r="E67" s="2"/>
      <c r="F67" s="2"/>
    </row>
    <row r="68" spans="1:6">
      <c r="A68" s="12"/>
      <c r="B68" s="12"/>
      <c r="C68" s="12"/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</sheetData>
  <mergeCells count="9">
    <mergeCell ref="A9:C9"/>
    <mergeCell ref="A2:C2"/>
    <mergeCell ref="A1:C1"/>
    <mergeCell ref="A62:C62"/>
    <mergeCell ref="A53:C53"/>
    <mergeCell ref="A47:C47"/>
    <mergeCell ref="A38:C38"/>
    <mergeCell ref="A29:C29"/>
    <mergeCell ref="A19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sqref="A1:K1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6" t="s">
        <v>128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3" spans="1:11" ht="30">
      <c r="A3" s="3" t="s">
        <v>40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41</v>
      </c>
      <c r="I3" s="3" t="s">
        <v>129</v>
      </c>
      <c r="J3" s="3" t="s">
        <v>130</v>
      </c>
      <c r="K3" s="3" t="s">
        <v>131</v>
      </c>
    </row>
    <row r="4" spans="1:11">
      <c r="A4" s="2" t="s">
        <v>53</v>
      </c>
      <c r="B4" s="2" t="s">
        <v>132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54</v>
      </c>
      <c r="I4" s="2" t="s">
        <v>31</v>
      </c>
      <c r="J4" s="2" t="s">
        <v>133</v>
      </c>
      <c r="K4" s="2" t="s">
        <v>31</v>
      </c>
    </row>
    <row r="5" spans="1:11">
      <c r="A5" s="2" t="s">
        <v>134</v>
      </c>
      <c r="B5" s="2" t="s">
        <v>135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54</v>
      </c>
      <c r="I5" s="2" t="s">
        <v>31</v>
      </c>
      <c r="J5" s="2" t="s">
        <v>133</v>
      </c>
      <c r="K5" s="2" t="s">
        <v>31</v>
      </c>
    </row>
    <row r="6" spans="1:11">
      <c r="A6" s="2" t="s">
        <v>58</v>
      </c>
      <c r="B6" s="2" t="s">
        <v>136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54</v>
      </c>
      <c r="I6" s="2" t="s">
        <v>31</v>
      </c>
      <c r="J6" s="2" t="s">
        <v>133</v>
      </c>
      <c r="K6" s="2" t="s">
        <v>31</v>
      </c>
    </row>
    <row r="7" spans="1:11">
      <c r="A7" s="2" t="s">
        <v>137</v>
      </c>
      <c r="B7" s="2" t="s">
        <v>132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54</v>
      </c>
      <c r="I7" s="2" t="s">
        <v>31</v>
      </c>
      <c r="J7" s="2" t="s">
        <v>133</v>
      </c>
      <c r="K7" s="2" t="s">
        <v>31</v>
      </c>
    </row>
    <row r="8" spans="1:11">
      <c r="A8" s="2" t="s">
        <v>138</v>
      </c>
      <c r="B8" s="2" t="s">
        <v>136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54</v>
      </c>
      <c r="I8" s="2" t="s">
        <v>31</v>
      </c>
      <c r="J8" s="2" t="s">
        <v>133</v>
      </c>
      <c r="K8" s="2" t="s">
        <v>31</v>
      </c>
    </row>
    <row r="9" spans="1:11">
      <c r="A9" s="2" t="s">
        <v>139</v>
      </c>
      <c r="B9" s="2" t="s">
        <v>66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140</v>
      </c>
      <c r="I9" s="2" t="s">
        <v>31</v>
      </c>
      <c r="J9" s="2" t="s">
        <v>133</v>
      </c>
      <c r="K9" s="2" t="s">
        <v>31</v>
      </c>
    </row>
    <row r="10" spans="1:11">
      <c r="A10" s="2" t="s">
        <v>141</v>
      </c>
      <c r="B10" s="2" t="s">
        <v>142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143</v>
      </c>
      <c r="I10" s="2" t="s">
        <v>31</v>
      </c>
      <c r="J10" s="2" t="s">
        <v>133</v>
      </c>
      <c r="K10" s="2" t="s">
        <v>31</v>
      </c>
    </row>
    <row r="11" spans="1:11">
      <c r="A11" s="2" t="s">
        <v>144</v>
      </c>
      <c r="B11" s="2" t="s">
        <v>66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143</v>
      </c>
      <c r="I11" s="2" t="s">
        <v>31</v>
      </c>
      <c r="J11" s="2" t="s">
        <v>133</v>
      </c>
      <c r="K11" s="2" t="s">
        <v>31</v>
      </c>
    </row>
    <row r="12" spans="1:11">
      <c r="A12" s="2" t="s">
        <v>145</v>
      </c>
      <c r="B12" s="2" t="s">
        <v>142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143</v>
      </c>
      <c r="I12" s="2" t="s">
        <v>31</v>
      </c>
      <c r="J12" s="2" t="s">
        <v>133</v>
      </c>
      <c r="K12" s="2" t="s">
        <v>31</v>
      </c>
    </row>
    <row r="13" spans="1:11">
      <c r="A13" s="2" t="s">
        <v>146</v>
      </c>
      <c r="B13" s="2" t="s">
        <v>147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148</v>
      </c>
      <c r="I13" s="2" t="s">
        <v>31</v>
      </c>
      <c r="J13" s="2" t="s">
        <v>133</v>
      </c>
      <c r="K13" s="2" t="s">
        <v>31</v>
      </c>
    </row>
    <row r="14" spans="1:11">
      <c r="A14" s="2" t="s">
        <v>149</v>
      </c>
      <c r="B14" s="2" t="s">
        <v>150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151</v>
      </c>
      <c r="I14" s="2" t="s">
        <v>31</v>
      </c>
      <c r="J14" s="2" t="s">
        <v>133</v>
      </c>
      <c r="K14" s="2" t="s">
        <v>31</v>
      </c>
    </row>
    <row r="15" spans="1:11">
      <c r="A15" s="2" t="s">
        <v>152</v>
      </c>
      <c r="B15" s="2" t="s">
        <v>153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154</v>
      </c>
      <c r="I15" s="2" t="s">
        <v>31</v>
      </c>
      <c r="J15" s="2" t="s">
        <v>133</v>
      </c>
      <c r="K15" s="2" t="s">
        <v>31</v>
      </c>
    </row>
    <row r="16" spans="1:11">
      <c r="A16" s="2" t="s">
        <v>59</v>
      </c>
      <c r="B16" s="2" t="s">
        <v>155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60</v>
      </c>
      <c r="I16" s="2" t="s">
        <v>31</v>
      </c>
      <c r="J16" s="2" t="s">
        <v>133</v>
      </c>
      <c r="K16" s="2" t="s">
        <v>31</v>
      </c>
    </row>
    <row r="17" spans="1:11">
      <c r="A17" s="2" t="s">
        <v>61</v>
      </c>
      <c r="B17" s="2" t="s">
        <v>156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62</v>
      </c>
      <c r="I17" s="2" t="s">
        <v>32</v>
      </c>
      <c r="J17" s="2" t="s">
        <v>133</v>
      </c>
      <c r="K17" s="2" t="s">
        <v>31</v>
      </c>
    </row>
    <row r="18" spans="1:11">
      <c r="A18" s="2" t="s">
        <v>157</v>
      </c>
      <c r="B18" s="2" t="s">
        <v>158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159</v>
      </c>
      <c r="I18" s="2" t="s">
        <v>32</v>
      </c>
      <c r="J18" s="2" t="s">
        <v>133</v>
      </c>
      <c r="K18" s="2" t="s">
        <v>31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zoomScale="55" zoomScaleNormal="5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6" t="s">
        <v>160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14" ht="30">
      <c r="A3" s="3" t="s">
        <v>161</v>
      </c>
      <c r="B3" s="3" t="s">
        <v>162</v>
      </c>
      <c r="C3" s="3" t="s">
        <v>163</v>
      </c>
      <c r="D3" s="3" t="s">
        <v>164</v>
      </c>
      <c r="E3" s="3" t="s">
        <v>165</v>
      </c>
      <c r="F3" s="3" t="s">
        <v>166</v>
      </c>
      <c r="G3" s="3" t="s">
        <v>167</v>
      </c>
      <c r="H3" s="3" t="s">
        <v>168</v>
      </c>
      <c r="I3" s="3" t="s">
        <v>169</v>
      </c>
      <c r="J3" s="3" t="s">
        <v>170</v>
      </c>
      <c r="K3" s="3" t="s">
        <v>171</v>
      </c>
      <c r="L3" s="3" t="s">
        <v>172</v>
      </c>
      <c r="M3" s="3" t="s">
        <v>51</v>
      </c>
      <c r="N3" s="3" t="s">
        <v>52</v>
      </c>
    </row>
    <row r="4" spans="1:14" ht="28.5">
      <c r="A4" s="2" t="s">
        <v>173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174</v>
      </c>
      <c r="N4" s="2" t="s">
        <v>31</v>
      </c>
    </row>
    <row r="5" spans="1:14">
      <c r="A5" s="2" t="s">
        <v>175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32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7" t="s">
        <v>176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4" ht="30">
      <c r="A9" s="13" t="s">
        <v>161</v>
      </c>
      <c r="B9" s="13" t="s">
        <v>177</v>
      </c>
      <c r="C9" s="13" t="s">
        <v>178</v>
      </c>
      <c r="D9" s="13" t="s">
        <v>179</v>
      </c>
      <c r="E9" s="13" t="s">
        <v>180</v>
      </c>
      <c r="F9" s="13" t="s">
        <v>181</v>
      </c>
      <c r="G9" s="13" t="s">
        <v>182</v>
      </c>
      <c r="H9" s="13" t="s">
        <v>183</v>
      </c>
      <c r="I9" s="13" t="s">
        <v>184</v>
      </c>
      <c r="J9" s="13" t="s">
        <v>185</v>
      </c>
      <c r="K9" s="13" t="s">
        <v>186</v>
      </c>
      <c r="L9" s="13" t="s">
        <v>187</v>
      </c>
      <c r="M9" s="13" t="s">
        <v>188</v>
      </c>
      <c r="N9" s="13" t="s">
        <v>189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tabSelected="1" zoomScale="85" zoomScaleNormal="85" workbookViewId="0">
      <selection activeCell="B9" sqref="B9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6" t="s">
        <v>190</v>
      </c>
      <c r="B1" s="26"/>
      <c r="C1" s="26"/>
      <c r="D1" s="26"/>
    </row>
    <row r="3" spans="1:4" ht="15">
      <c r="A3" s="3" t="s">
        <v>191</v>
      </c>
      <c r="B3" s="3" t="s">
        <v>192</v>
      </c>
      <c r="C3" s="3" t="s">
        <v>193</v>
      </c>
      <c r="D3" s="3" t="s">
        <v>194</v>
      </c>
    </row>
    <row r="4" spans="1:4" ht="28.5">
      <c r="A4" s="2" t="s">
        <v>195</v>
      </c>
      <c r="B4" s="21" t="s">
        <v>313</v>
      </c>
      <c r="C4" s="2" t="s">
        <v>196</v>
      </c>
      <c r="D4" s="2" t="s">
        <v>197</v>
      </c>
    </row>
    <row r="5" spans="1:4" s="15" customFormat="1" ht="71.25">
      <c r="A5" s="2" t="s">
        <v>358</v>
      </c>
      <c r="B5" s="2" t="s">
        <v>359</v>
      </c>
      <c r="C5" s="2" t="s">
        <v>360</v>
      </c>
      <c r="D5" s="2" t="s">
        <v>361</v>
      </c>
    </row>
    <row r="6" spans="1:4" s="15" customFormat="1" ht="57">
      <c r="A6" s="2" t="s">
        <v>362</v>
      </c>
      <c r="B6" s="2" t="s">
        <v>365</v>
      </c>
      <c r="C6" s="2" t="s">
        <v>363</v>
      </c>
      <c r="D6" s="2" t="s">
        <v>364</v>
      </c>
    </row>
    <row r="7" spans="1:4" s="15" customFormat="1" ht="57">
      <c r="A7" s="2" t="s">
        <v>366</v>
      </c>
      <c r="B7" s="2" t="s">
        <v>368</v>
      </c>
      <c r="C7" s="2" t="s">
        <v>369</v>
      </c>
      <c r="D7" s="2" t="s">
        <v>367</v>
      </c>
    </row>
    <row r="8" spans="1:4" s="15" customFormat="1" ht="57">
      <c r="A8" s="2" t="s">
        <v>370</v>
      </c>
      <c r="B8" s="2" t="s">
        <v>373</v>
      </c>
      <c r="C8" s="2" t="s">
        <v>371</v>
      </c>
      <c r="D8" s="2" t="s">
        <v>372</v>
      </c>
    </row>
    <row r="9" spans="1:4" ht="28.5">
      <c r="A9" s="2" t="s">
        <v>198</v>
      </c>
      <c r="B9" s="2" t="s">
        <v>199</v>
      </c>
      <c r="C9" s="2" t="s">
        <v>200</v>
      </c>
      <c r="D9" s="2" t="s">
        <v>201</v>
      </c>
    </row>
    <row r="10" spans="1:4" s="15" customFormat="1" ht="71.25">
      <c r="A10" s="2" t="s">
        <v>349</v>
      </c>
      <c r="B10" s="2" t="s">
        <v>350</v>
      </c>
      <c r="C10" s="2" t="s">
        <v>351</v>
      </c>
      <c r="D10" s="2" t="s">
        <v>352</v>
      </c>
    </row>
    <row r="11" spans="1:4" s="15" customFormat="1" ht="42.75">
      <c r="A11" s="2" t="s">
        <v>353</v>
      </c>
      <c r="B11" s="2" t="s">
        <v>354</v>
      </c>
      <c r="C11" s="2" t="s">
        <v>356</v>
      </c>
      <c r="D11" s="2" t="s">
        <v>355</v>
      </c>
    </row>
    <row r="12" spans="1:4" ht="57">
      <c r="A12" s="2" t="s">
        <v>202</v>
      </c>
      <c r="B12" s="20" t="s">
        <v>323</v>
      </c>
      <c r="C12" s="24" t="s">
        <v>324</v>
      </c>
      <c r="D12" s="2" t="s">
        <v>203</v>
      </c>
    </row>
    <row r="13" spans="1:4">
      <c r="A13" s="2" t="s">
        <v>9</v>
      </c>
      <c r="B13" s="2" t="s">
        <v>204</v>
      </c>
      <c r="C13" s="2" t="s">
        <v>205</v>
      </c>
      <c r="D13" s="2" t="s">
        <v>206</v>
      </c>
    </row>
    <row r="14" spans="1:4">
      <c r="A14" s="2" t="s">
        <v>11</v>
      </c>
      <c r="B14" s="22" t="s">
        <v>314</v>
      </c>
      <c r="C14" s="22" t="s">
        <v>315</v>
      </c>
      <c r="D14" s="22" t="s">
        <v>208</v>
      </c>
    </row>
    <row r="15" spans="1:4" s="15" customFormat="1" ht="57">
      <c r="A15" s="19" t="s">
        <v>316</v>
      </c>
      <c r="B15" s="2" t="s">
        <v>115</v>
      </c>
      <c r="C15" s="2" t="s">
        <v>207</v>
      </c>
      <c r="D15" s="2" t="s">
        <v>357</v>
      </c>
    </row>
    <row r="16" spans="1:4" ht="28.5">
      <c r="A16" s="2" t="s">
        <v>209</v>
      </c>
      <c r="B16" s="23" t="s">
        <v>317</v>
      </c>
      <c r="C16" s="23" t="s">
        <v>318</v>
      </c>
      <c r="D16" s="2" t="s">
        <v>210</v>
      </c>
    </row>
    <row r="17" spans="1:4" s="15" customFormat="1" ht="57">
      <c r="A17" t="s">
        <v>322</v>
      </c>
      <c r="B17" s="2" t="s">
        <v>319</v>
      </c>
      <c r="C17" s="2" t="s">
        <v>320</v>
      </c>
      <c r="D17" s="2" t="s">
        <v>321</v>
      </c>
    </row>
    <row r="18" spans="1:4" ht="42.75">
      <c r="A18" s="2" t="s">
        <v>297</v>
      </c>
      <c r="B18" s="2" t="s">
        <v>298</v>
      </c>
      <c r="C18" s="2" t="s">
        <v>299</v>
      </c>
      <c r="D18" s="2" t="s">
        <v>300</v>
      </c>
    </row>
    <row r="19" spans="1:4" ht="42.75">
      <c r="A19" s="2" t="s">
        <v>301</v>
      </c>
      <c r="B19" s="2" t="s">
        <v>302</v>
      </c>
      <c r="C19" s="2" t="s">
        <v>303</v>
      </c>
      <c r="D19" s="2" t="s">
        <v>304</v>
      </c>
    </row>
    <row r="20" spans="1:4" ht="28.5">
      <c r="A20" s="2" t="s">
        <v>305</v>
      </c>
      <c r="B20" s="2" t="s">
        <v>306</v>
      </c>
      <c r="C20" s="2" t="s">
        <v>307</v>
      </c>
      <c r="D20" s="2" t="s">
        <v>308</v>
      </c>
    </row>
    <row r="21" spans="1:4" ht="42.75">
      <c r="A21" s="2" t="s">
        <v>309</v>
      </c>
      <c r="B21" s="2" t="s">
        <v>310</v>
      </c>
      <c r="C21" s="2" t="s">
        <v>311</v>
      </c>
      <c r="D21" s="2" t="s">
        <v>312</v>
      </c>
    </row>
    <row r="22" spans="1:4" ht="42.75">
      <c r="A22" s="2" t="s">
        <v>327</v>
      </c>
      <c r="B22" s="2" t="s">
        <v>328</v>
      </c>
      <c r="C22" s="2" t="s">
        <v>329</v>
      </c>
      <c r="D22" s="2" t="s">
        <v>330</v>
      </c>
    </row>
    <row r="23" spans="1:4" ht="42.75">
      <c r="A23" s="2" t="s">
        <v>331</v>
      </c>
      <c r="B23" s="2" t="s">
        <v>332</v>
      </c>
      <c r="C23" s="2" t="s">
        <v>333</v>
      </c>
      <c r="D23" s="2" t="s">
        <v>334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55" zoomScaleNormal="55" workbookViewId="0">
      <selection activeCell="B4" sqref="B4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34" t="s">
        <v>211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212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213</v>
      </c>
      <c r="B4" s="25" t="s">
        <v>325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214</v>
      </c>
      <c r="B5" s="2" t="s">
        <v>215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216</v>
      </c>
      <c r="B6" s="2" t="s">
        <v>217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3" t="s">
        <v>218</v>
      </c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</row>
    <row r="9" spans="1:14" ht="30">
      <c r="A9" s="11" t="s">
        <v>219</v>
      </c>
      <c r="B9" s="11" t="s">
        <v>220</v>
      </c>
      <c r="C9" s="11" t="s">
        <v>221</v>
      </c>
      <c r="D9" s="11" t="s">
        <v>222</v>
      </c>
      <c r="E9" s="11" t="s">
        <v>30</v>
      </c>
      <c r="F9" s="11" t="s">
        <v>223</v>
      </c>
      <c r="G9" s="11" t="s">
        <v>224</v>
      </c>
      <c r="H9" s="11" t="s">
        <v>225</v>
      </c>
      <c r="I9" s="11" t="s">
        <v>226</v>
      </c>
      <c r="J9" s="11" t="s">
        <v>227</v>
      </c>
      <c r="K9" s="11" t="s">
        <v>228</v>
      </c>
      <c r="L9" s="11" t="s">
        <v>229</v>
      </c>
      <c r="M9" s="11" t="s">
        <v>230</v>
      </c>
      <c r="N9" s="11" t="s">
        <v>231</v>
      </c>
    </row>
    <row r="10" spans="1:14" ht="85.5">
      <c r="A10" s="8" t="s">
        <v>232</v>
      </c>
      <c r="B10" s="8" t="s">
        <v>233</v>
      </c>
      <c r="C10" s="8" t="s">
        <v>234</v>
      </c>
      <c r="D10" s="8" t="s">
        <v>66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235</v>
      </c>
      <c r="N10" s="8" t="s">
        <v>236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33" t="s">
        <v>237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</row>
    <row r="13" spans="1:14" ht="30">
      <c r="A13" s="11" t="s">
        <v>219</v>
      </c>
      <c r="B13" s="11" t="s">
        <v>220</v>
      </c>
      <c r="C13" s="11" t="s">
        <v>221</v>
      </c>
      <c r="D13" s="11" t="s">
        <v>238</v>
      </c>
      <c r="E13" s="11" t="s">
        <v>239</v>
      </c>
      <c r="F13" s="11" t="s">
        <v>240</v>
      </c>
      <c r="G13" s="11" t="s">
        <v>241</v>
      </c>
      <c r="H13" s="11" t="s">
        <v>242</v>
      </c>
      <c r="I13" s="11" t="s">
        <v>243</v>
      </c>
      <c r="J13" s="11" t="s">
        <v>244</v>
      </c>
      <c r="K13" s="11" t="s">
        <v>230</v>
      </c>
      <c r="L13" s="11" t="s">
        <v>231</v>
      </c>
      <c r="M13" s="11" t="s">
        <v>245</v>
      </c>
      <c r="N13" s="11" t="s">
        <v>246</v>
      </c>
    </row>
    <row r="14" spans="1:14" ht="28.5">
      <c r="A14" s="8" t="s">
        <v>247</v>
      </c>
      <c r="B14" s="8" t="s">
        <v>248</v>
      </c>
      <c r="C14" s="8" t="s">
        <v>249</v>
      </c>
      <c r="D14" s="8" t="s">
        <v>250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235</v>
      </c>
      <c r="L14" s="8" t="s">
        <v>251</v>
      </c>
      <c r="M14" s="8" t="s">
        <v>252</v>
      </c>
      <c r="N14" s="8" t="s">
        <v>253</v>
      </c>
    </row>
    <row r="15" spans="1:14" ht="28.5">
      <c r="A15" s="8" t="s">
        <v>254</v>
      </c>
      <c r="B15" s="8" t="s">
        <v>248</v>
      </c>
      <c r="C15" s="8" t="s">
        <v>249</v>
      </c>
      <c r="D15" s="8" t="s">
        <v>255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235</v>
      </c>
      <c r="L15" s="8" t="s">
        <v>251</v>
      </c>
      <c r="M15" s="8" t="s">
        <v>252</v>
      </c>
      <c r="N15" s="8" t="s">
        <v>253</v>
      </c>
    </row>
    <row r="16" spans="1:14" ht="28.5">
      <c r="A16" s="8" t="s">
        <v>256</v>
      </c>
      <c r="B16" s="8" t="s">
        <v>248</v>
      </c>
      <c r="C16" s="8" t="s">
        <v>257</v>
      </c>
      <c r="D16" s="8" t="s">
        <v>250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235</v>
      </c>
      <c r="L16" s="8" t="s">
        <v>251</v>
      </c>
      <c r="M16" s="8" t="s">
        <v>252</v>
      </c>
      <c r="N16" s="8" t="s">
        <v>253</v>
      </c>
    </row>
    <row r="17" spans="1:14" ht="28.5">
      <c r="A17" s="8" t="s">
        <v>258</v>
      </c>
      <c r="B17" s="8" t="s">
        <v>248</v>
      </c>
      <c r="C17" s="8" t="s">
        <v>257</v>
      </c>
      <c r="D17" s="8" t="s">
        <v>255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235</v>
      </c>
      <c r="L17" s="8" t="s">
        <v>251</v>
      </c>
      <c r="M17" s="8" t="s">
        <v>252</v>
      </c>
      <c r="N17" s="8" t="s">
        <v>253</v>
      </c>
    </row>
    <row r="18" spans="1:14" ht="28.5">
      <c r="A18" s="8" t="s">
        <v>259</v>
      </c>
      <c r="B18" s="8" t="s">
        <v>248</v>
      </c>
      <c r="C18" s="8" t="s">
        <v>260</v>
      </c>
      <c r="D18" s="8" t="s">
        <v>250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235</v>
      </c>
      <c r="L18" s="8" t="s">
        <v>251</v>
      </c>
      <c r="M18" s="8" t="s">
        <v>252</v>
      </c>
      <c r="N18" s="8" t="s">
        <v>253</v>
      </c>
    </row>
    <row r="19" spans="1:14" ht="28.5">
      <c r="A19" s="8" t="s">
        <v>261</v>
      </c>
      <c r="B19" s="8" t="s">
        <v>248</v>
      </c>
      <c r="C19" s="8" t="s">
        <v>260</v>
      </c>
      <c r="D19" s="8" t="s">
        <v>255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235</v>
      </c>
      <c r="L19" s="8" t="s">
        <v>251</v>
      </c>
      <c r="M19" s="8" t="s">
        <v>252</v>
      </c>
      <c r="N19" s="8" t="s">
        <v>253</v>
      </c>
    </row>
    <row r="20" spans="1:14" ht="28.5">
      <c r="A20" s="8" t="s">
        <v>262</v>
      </c>
      <c r="B20" s="8" t="s">
        <v>248</v>
      </c>
      <c r="C20" s="8" t="s">
        <v>263</v>
      </c>
      <c r="D20" s="8" t="s">
        <v>250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235</v>
      </c>
      <c r="L20" s="8" t="s">
        <v>251</v>
      </c>
      <c r="M20" s="8" t="s">
        <v>252</v>
      </c>
      <c r="N20" s="8" t="s">
        <v>253</v>
      </c>
    </row>
    <row r="21" spans="1:14" ht="28.5">
      <c r="A21" s="8" t="s">
        <v>264</v>
      </c>
      <c r="B21" s="8" t="s">
        <v>248</v>
      </c>
      <c r="C21" s="8" t="s">
        <v>263</v>
      </c>
      <c r="D21" s="8" t="s">
        <v>255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235</v>
      </c>
      <c r="L21" s="8" t="s">
        <v>251</v>
      </c>
      <c r="M21" s="8" t="s">
        <v>252</v>
      </c>
      <c r="N21" s="8" t="s">
        <v>253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33" t="s">
        <v>265</v>
      </c>
      <c r="B24" s="33"/>
      <c r="C24" s="33"/>
      <c r="D24" s="33"/>
      <c r="E24" s="33"/>
    </row>
    <row r="25" spans="1:14" ht="30">
      <c r="A25" s="11" t="s">
        <v>266</v>
      </c>
      <c r="B25" s="11" t="s">
        <v>220</v>
      </c>
      <c r="C25" s="11" t="s">
        <v>267</v>
      </c>
      <c r="D25" s="11" t="s">
        <v>268</v>
      </c>
      <c r="E25" s="11" t="s">
        <v>269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270</v>
      </c>
      <c r="B26" s="9" t="s">
        <v>271</v>
      </c>
      <c r="C26" s="9" t="s">
        <v>272</v>
      </c>
      <c r="D26" s="9" t="s">
        <v>273</v>
      </c>
      <c r="E26" s="9" t="s">
        <v>274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275</v>
      </c>
      <c r="B27" s="9" t="s">
        <v>276</v>
      </c>
      <c r="C27" s="9" t="s">
        <v>277</v>
      </c>
      <c r="D27" s="9" t="s">
        <v>278</v>
      </c>
      <c r="E27" s="9" t="s">
        <v>279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280</v>
      </c>
      <c r="B28" s="9" t="s">
        <v>281</v>
      </c>
      <c r="C28" s="9" t="s">
        <v>282</v>
      </c>
      <c r="D28" s="9" t="s">
        <v>283</v>
      </c>
      <c r="E28" s="9" t="s">
        <v>284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33" t="s">
        <v>285</v>
      </c>
      <c r="B31" s="33"/>
    </row>
    <row r="32" spans="1:14" ht="15">
      <c r="A32" s="11" t="s">
        <v>286</v>
      </c>
      <c r="B32" s="11" t="s">
        <v>287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288</v>
      </c>
      <c r="B33" s="8" t="s">
        <v>235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289</v>
      </c>
      <c r="B34" s="8" t="s">
        <v>235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290</v>
      </c>
      <c r="B35" s="8" t="s">
        <v>235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291</v>
      </c>
      <c r="B36" s="8" t="s">
        <v>235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292</v>
      </c>
      <c r="B37" s="8" t="s">
        <v>235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  <vt:lpstr>mass</vt:lpstr>
      <vt:lpstr>molar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2026-08-07T20:30:04Z</dcterms:modified>
</cp:coreProperties>
</file>