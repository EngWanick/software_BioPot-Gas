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NM\Programming\Repositories\software_BioPot-Gas\"/>
    </mc:Choice>
  </mc:AlternateContent>
  <xr:revisionPtr revIDLastSave="0" documentId="13_ncr:1_{A687F830-EA5B-4EFB-905A-3B3E100C19F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0_INFORMATIVO" sheetId="1" r:id="rId1"/>
    <sheet name="01_INPUTS" sheetId="2" r:id="rId2"/>
    <sheet name="02_OUTPUTS" sheetId="3" r:id="rId3"/>
    <sheet name="03_COMPONENT_DATABASE" sheetId="4" r:id="rId4"/>
    <sheet name="04_EXPERIMENTAL_VALIDATION" sheetId="5" r:id="rId5"/>
    <sheet name="05_METHOD_NOTES" sheetId="6" r:id="rId6"/>
    <sheet name="06_VALIDATION_BENCHMARK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" l="1"/>
  <c r="B6" i="3"/>
  <c r="B5" i="3"/>
  <c r="B4" i="3"/>
</calcChain>
</file>

<file path=xl/sharedStrings.xml><?xml version="1.0" encoding="utf-8"?>
<sst xmlns="http://schemas.openxmlformats.org/spreadsheetml/2006/main" count="547" uniqueCount="319">
  <si>
    <t>BioPot-Gas v0.6 | Informativo do template</t>
  </si>
  <si>
    <t>Objetivo</t>
  </si>
  <si>
    <t>Organizar os dados de entrada, resultados teóricos, conversão volumétrica normalizada, estimativa energética e validação experimental do software BioPot-Gas.</t>
  </si>
  <si>
    <t>Núcleo do software</t>
  </si>
  <si>
    <t>O BioPot-Gas estima o potencial teórico de biogás e biometano a partir da composição de substratos orgânicos, com base em balanço elementar e fechamento estequiométrico.</t>
  </si>
  <si>
    <t>Abas principais</t>
  </si>
  <si>
    <t>01_INPUTS recebe parâmetros globais e componentes. 02_OUTPUTS recebe resultados automáticos. 03_COMPONENT_DATABASE contém componentes padronizados. 04_EXPERIMENTAL_VALIDATION compara dados experimentais e teóricos. 05_METHOD_NOTES registra hipóteses e limites.</t>
  </si>
  <si>
    <t>Unidade molar</t>
  </si>
  <si>
    <t>Use uma base molar consistente para todos os componentes. Use kmol ou kmol/h para interpretar diretamente as massas em kg e os volumes normalizados em Nm³.</t>
  </si>
  <si>
    <t>Condição normal</t>
  </si>
  <si>
    <t>A conversão volumétrica usa temperatura e pressão de normalização informadas em 01_INPUTS. O valor padrão corresponde a 0 °C e 101,325 kPa.</t>
  </si>
  <si>
    <t>Energia</t>
  </si>
  <si>
    <t>A energia é calculada a partir do volume normalizado de CH4 e do poder calorífico inferior informado pelo usuário.</t>
  </si>
  <si>
    <t>Validação experimental</t>
  </si>
  <si>
    <t>A aba 04_EXPERIMENTAL_VALIDATION permite inserir dados experimentais de CH4 e biogás e calcular erros absolutos, erros assinados, erros relativos e eficiência de conversão.</t>
  </si>
  <si>
    <t>Atenção</t>
  </si>
  <si>
    <t>A comparação experimental só é válida quando a base experimental e a base teórica forem compatíveis.</t>
  </si>
  <si>
    <t>BioPot-Gas v0.6 | Dados de Entrada</t>
  </si>
  <si>
    <t>Parâmetros globais</t>
  </si>
  <si>
    <t>Project_name</t>
  </si>
  <si>
    <t>Example BioPot-Gas v0.5</t>
  </si>
  <si>
    <t>Nome do estudo ou cenário</t>
  </si>
  <si>
    <t>required</t>
  </si>
  <si>
    <t>Analyst</t>
  </si>
  <si>
    <t>Edgar Amaral Silveira</t>
  </si>
  <si>
    <t>Responsável pelo preenchimento</t>
  </si>
  <si>
    <t>optional</t>
  </si>
  <si>
    <t>Date</t>
  </si>
  <si>
    <t>2026-06-05</t>
  </si>
  <si>
    <t>Data de preparação da entrada</t>
  </si>
  <si>
    <t>Basis_molar_unit</t>
  </si>
  <si>
    <t>kmol/h</t>
  </si>
  <si>
    <t>Unidade da vazão molar usada na tabela. Use kmol ou kmol/h para obter kg e Nm³ diretamente.</t>
  </si>
  <si>
    <t>carbon_conversion</t>
  </si>
  <si>
    <t>Fração do carbono direcionada à formação de biogás</t>
  </si>
  <si>
    <t>validate_non_negative</t>
  </si>
  <si>
    <t>TRUE</t>
  </si>
  <si>
    <t>Bloqueia resultados fisicamente inconsistentes</t>
  </si>
  <si>
    <t>include_non_degradable</t>
  </si>
  <si>
    <t>FALSE</t>
  </si>
  <si>
    <t>TRUE inclui não degradáveis no cálculo</t>
  </si>
  <si>
    <t>normal_temperature_C</t>
  </si>
  <si>
    <t>Temperatura de normalização</t>
  </si>
  <si>
    <t>normal_pressure_kPa</t>
  </si>
  <si>
    <t>Pressão de normalização</t>
  </si>
  <si>
    <t>CH4_LHV_MJ_per_Nm3</t>
  </si>
  <si>
    <t>PCI do metano por Nm³</t>
  </si>
  <si>
    <t>kWh_per_MJ</t>
  </si>
  <si>
    <t>Fator de conversão de MJ para kWh</t>
  </si>
  <si>
    <t>report_units</t>
  </si>
  <si>
    <t>Nm3, MJ, kWh</t>
  </si>
  <si>
    <t>Unidades principais do relatório</t>
  </si>
  <si>
    <t>Nota: linhas WATER/H2O representam água disponível no sistema, não substrato orgânico. A água é tratada separadamente no balanço de H2O.</t>
  </si>
  <si>
    <t>Tabela de componentes, substratos e água disponível</t>
  </si>
  <si>
    <t>component_name</t>
  </si>
  <si>
    <t>category</t>
  </si>
  <si>
    <t>degradable</t>
  </si>
  <si>
    <t>molar_flow</t>
  </si>
  <si>
    <t>formula</t>
  </si>
  <si>
    <t>C_atoms</t>
  </si>
  <si>
    <t>H_atoms</t>
  </si>
  <si>
    <t>O_atoms</t>
  </si>
  <si>
    <t>N_atoms</t>
  </si>
  <si>
    <t>S_atoms</t>
  </si>
  <si>
    <t>input_mode</t>
  </si>
  <si>
    <t>source_or_reference</t>
  </si>
  <si>
    <t>notes</t>
  </si>
  <si>
    <t>active_row</t>
  </si>
  <si>
    <t>GLUCOSE</t>
  </si>
  <si>
    <t>soluble sugar</t>
  </si>
  <si>
    <t>DATABASE</t>
  </si>
  <si>
    <t>example</t>
  </si>
  <si>
    <t>database mode</t>
  </si>
  <si>
    <t>XYLOSE</t>
  </si>
  <si>
    <t>PROTEIN_GENERIC</t>
  </si>
  <si>
    <t>protein</t>
  </si>
  <si>
    <t>LIGNIN_GENERIC</t>
  </si>
  <si>
    <t>lignin</t>
  </si>
  <si>
    <t>not used if include_non_degradable is FALSE</t>
  </si>
  <si>
    <t>CUSTOM_FORMULA</t>
  </si>
  <si>
    <t>custom</t>
  </si>
  <si>
    <t>C6H10O5</t>
  </si>
  <si>
    <t>FORMULA</t>
  </si>
  <si>
    <t>user</t>
  </si>
  <si>
    <t>example only</t>
  </si>
  <si>
    <t>CUSTOM_ELEMENTS</t>
  </si>
  <si>
    <t>ELEMENTS</t>
  </si>
  <si>
    <t>BioPot-Gas v0.6 | Relatório Automático de Resultados</t>
  </si>
  <si>
    <t>Identificação</t>
  </si>
  <si>
    <t>Campo</t>
  </si>
  <si>
    <t>Valor</t>
  </si>
  <si>
    <t>Unidade</t>
  </si>
  <si>
    <t>Parâmetros usados</t>
  </si>
  <si>
    <t>fraction</t>
  </si>
  <si>
    <t>boolean</t>
  </si>
  <si>
    <t>°C</t>
  </si>
  <si>
    <t>kPa</t>
  </si>
  <si>
    <t>molar_volume_Nm3_per_kmol</t>
  </si>
  <si>
    <t>Nm³/kmol</t>
  </si>
  <si>
    <t>MJ/Nm³</t>
  </si>
  <si>
    <t>kWh/MJ</t>
  </si>
  <si>
    <t>number_of_components_read</t>
  </si>
  <si>
    <t>count</t>
  </si>
  <si>
    <t>Resultados molares</t>
  </si>
  <si>
    <t>CH4_mol</t>
  </si>
  <si>
    <t>input molar basis</t>
  </si>
  <si>
    <t>CO2_mol</t>
  </si>
  <si>
    <t>NH3_mol</t>
  </si>
  <si>
    <t>H2S_mol</t>
  </si>
  <si>
    <t>total_gas_mol</t>
  </si>
  <si>
    <t>CH4_mol_fraction</t>
  </si>
  <si>
    <t>inert_carbon_mol</t>
  </si>
  <si>
    <t>Resultados mássicos</t>
  </si>
  <si>
    <t>CH4_mass</t>
  </si>
  <si>
    <t>kg if input basis is kmol</t>
  </si>
  <si>
    <t>CO2_mass</t>
  </si>
  <si>
    <t>NH3_mass</t>
  </si>
  <si>
    <t>H2S_mass</t>
  </si>
  <si>
    <t>H2O_mass</t>
  </si>
  <si>
    <t>inert_carbon_mass</t>
  </si>
  <si>
    <t>Resultados volumétricos normalizados</t>
  </si>
  <si>
    <t>CH4_Nm3</t>
  </si>
  <si>
    <t>Nm³</t>
  </si>
  <si>
    <t>CO2_Nm3</t>
  </si>
  <si>
    <t>NH3_Nm3</t>
  </si>
  <si>
    <t>H2S_Nm3</t>
  </si>
  <si>
    <t>total_biogas_Nm3</t>
  </si>
  <si>
    <t>CH4_vol_percent</t>
  </si>
  <si>
    <t>%</t>
  </si>
  <si>
    <t>Resultados energéticos</t>
  </si>
  <si>
    <t>CH4_energy_LHV_MJ</t>
  </si>
  <si>
    <t>MJ</t>
  </si>
  <si>
    <t>CH4_energy_LHV_kWh</t>
  </si>
  <si>
    <t>kWh</t>
  </si>
  <si>
    <t>CH4_to_CO2_molar_ratio</t>
  </si>
  <si>
    <t>mol/mol</t>
  </si>
  <si>
    <t>Balanço de água</t>
  </si>
  <si>
    <t>water_available_mol</t>
  </si>
  <si>
    <t>H2O_mol</t>
  </si>
  <si>
    <t>net_water_balance_mol</t>
  </si>
  <si>
    <t>net_water_balance_mass</t>
  </si>
  <si>
    <t>H2O_balance_note</t>
  </si>
  <si>
    <t>text</t>
  </si>
  <si>
    <t>net_water_balance_note</t>
  </si>
  <si>
    <t>Mensagens, notas e alertas</t>
  </si>
  <si>
    <t>calculation_status</t>
  </si>
  <si>
    <t>warnings</t>
  </si>
  <si>
    <t>molar_basis_note</t>
  </si>
  <si>
    <t>carbon_conversion_note</t>
  </si>
  <si>
    <t>BioPot-Gas v0.5 | Banco de Componentes</t>
  </si>
  <si>
    <t>default_degradable</t>
  </si>
  <si>
    <t>source_or_note</t>
  </si>
  <si>
    <t>active</t>
  </si>
  <si>
    <t>C6H12O6</t>
  </si>
  <si>
    <t>initial database</t>
  </si>
  <si>
    <t>SUCROSE</t>
  </si>
  <si>
    <t>C12H22O11</t>
  </si>
  <si>
    <t>C5H10O5</t>
  </si>
  <si>
    <t>GALACTOSE</t>
  </si>
  <si>
    <t>ARABINOSE</t>
  </si>
  <si>
    <t>GLUCAN</t>
  </si>
  <si>
    <t>structural carbohydrate</t>
  </si>
  <si>
    <t>XYLAN</t>
  </si>
  <si>
    <t>C5H8O4</t>
  </si>
  <si>
    <t>hemicelluloses</t>
  </si>
  <si>
    <t>GALACTAN</t>
  </si>
  <si>
    <t>ARABINAN</t>
  </si>
  <si>
    <t>ETHANOL</t>
  </si>
  <si>
    <t>C2H6O</t>
  </si>
  <si>
    <t>alcohol</t>
  </si>
  <si>
    <t>FURFURAL</t>
  </si>
  <si>
    <t>C5H4O2</t>
  </si>
  <si>
    <t>intermediate</t>
  </si>
  <si>
    <t>GLYCEROL</t>
  </si>
  <si>
    <t>C3H8O3</t>
  </si>
  <si>
    <t>polyol</t>
  </si>
  <si>
    <t>CH1.57O0.31N0.29S0.007</t>
  </si>
  <si>
    <t>C7.3H13.9O1.3</t>
  </si>
  <si>
    <t>BIOMASS_GENERIC</t>
  </si>
  <si>
    <t>CH1.64O0.39N0.23S0.0035</t>
  </si>
  <si>
    <t>microbial biomass</t>
  </si>
  <si>
    <t>BioPot-Gas v0.6 | Validação Experimental</t>
  </si>
  <si>
    <t>sample_id</t>
  </si>
  <si>
    <t>experimental_CH4_Nm3</t>
  </si>
  <si>
    <t>experimental_biogas_Nm3</t>
  </si>
  <si>
    <t>experimental_CH4_percent</t>
  </si>
  <si>
    <t>substrate_mass_kg</t>
  </si>
  <si>
    <t>dry_mass_kg</t>
  </si>
  <si>
    <t>volatile_solids_kg</t>
  </si>
  <si>
    <t>COD_kg</t>
  </si>
  <si>
    <t>experiment_duration_days</t>
  </si>
  <si>
    <t>temperature_C</t>
  </si>
  <si>
    <t>theoretical_CH4_Nm3</t>
  </si>
  <si>
    <t>theoretical_biogas_Nm3</t>
  </si>
  <si>
    <t>Sample_01</t>
  </si>
  <si>
    <t>Fill experimental data after calculation</t>
  </si>
  <si>
    <t>Sample_02</t>
  </si>
  <si>
    <t>Campos calculados pelo software</t>
  </si>
  <si>
    <t>absolute_error_CH4_Nm3</t>
  </si>
  <si>
    <t>signed_error_CH4_Nm3</t>
  </si>
  <si>
    <t>relative_error_CH4_percent</t>
  </si>
  <si>
    <t>signed_relative_error_CH4_percent</t>
  </si>
  <si>
    <t>conversion_efficiency_percent</t>
  </si>
  <si>
    <t>absolute_error_biogas_Nm3</t>
  </si>
  <si>
    <t>signed_error_biogas_Nm3</t>
  </si>
  <si>
    <t>relative_error_biogas_percent</t>
  </si>
  <si>
    <t>signed_relative_error_biogas_percent</t>
  </si>
  <si>
    <t>CH4_percent_deviation</t>
  </si>
  <si>
    <t>validation_status</t>
  </si>
  <si>
    <t>warning</t>
  </si>
  <si>
    <t>validation_basis_note</t>
  </si>
  <si>
    <t>BioPot-Gas v0.6 | Notas metodológicas</t>
  </si>
  <si>
    <t>Item</t>
  </si>
  <si>
    <t>Descrição</t>
  </si>
  <si>
    <t>Implementação</t>
  </si>
  <si>
    <t>Limitação</t>
  </si>
  <si>
    <t>Método central</t>
  </si>
  <si>
    <t>Estequiometria</t>
  </si>
  <si>
    <t>O núcleo Python calcula CH4, CO2, NH3, H2S e o termo estequiométrico de H2O pela equação de Buswell.</t>
  </si>
  <si>
    <t>Não substitui ensaios experimentais de digestão anaeróbia.</t>
  </si>
  <si>
    <t>Carbono convertido</t>
  </si>
  <si>
    <t>Fração do carbono direcionada à formação de biogás.</t>
  </si>
  <si>
    <t>Parâmetro carbon_conversion editável na aba 01_INPUTS.</t>
  </si>
  <si>
    <t>A fração deve ser definida de acordo com a hipótese do usuário.</t>
  </si>
  <si>
    <t>Volume normalizado</t>
  </si>
  <si>
    <t>As quantidades molares preservam a base de entrada. Use kmol ou kmol/h para interpretar diretamente massas em kg e volumes em Nm³.</t>
  </si>
  <si>
    <t>A condição normal deve ser compatível com a comparação experimental.</t>
  </si>
  <si>
    <t>Estimativa energética do CH4 com base no PCI informado.</t>
  </si>
  <si>
    <t>Multiplica CH4_Nm3 por CH4_LHV_MJ_per_Nm3.</t>
  </si>
  <si>
    <t>O PCI pode variar conforme a referência adotada.</t>
  </si>
  <si>
    <t>H2O_mol positivo indica consumo estequiométrico de água; H2O_mol negativo indica produção líquida. net_water_balance_mol é calculado como água disponível menos H2O_mol.</t>
  </si>
  <si>
    <t>Só é válida quando as bases forem compatíveis.</t>
  </si>
  <si>
    <t>Integração</t>
  </si>
  <si>
    <t>Erros de validação</t>
  </si>
  <si>
    <t>absolute_error_* e relative_error_* são magnitudes não negativas. signed_error_* e signed_relative_error_* usam experimental menos teórico.</t>
  </si>
  <si>
    <t>Integrações externas precisam ser desenvolvidas caso a caso.</t>
  </si>
  <si>
    <t>BioPot-Gas v0.6 | Validação técnico-científica e benchmarks de literatura</t>
  </si>
  <si>
    <t>Documentar benchmarks usados para verificar a consistência matemática, volumétrica e experimental do BioPot-Gas.</t>
  </si>
  <si>
    <t>Escopo</t>
  </si>
  <si>
    <t>Esta aba é preservada pelo pipeline Python como documentação técnica e benchmark de literatura. Ela não é recalculada nem reescrita diretamente em tempo de execução.</t>
  </si>
  <si>
    <t>Interpretação</t>
  </si>
  <si>
    <t>Os resultados teóricos representam potencial máximo. Valores experimentais podem ficar abaixo por biodegradabilidade incompleta, inibição, hidrólise limitada, composição lignocelulósica e condições do ensaio BMP.</t>
  </si>
  <si>
    <t>Status geral</t>
  </si>
  <si>
    <t>Aprovado para os benchmarks incluídos nesta versão.</t>
  </si>
  <si>
    <t>1. Validação estequiométrica e volumétrica com controle de celulose</t>
  </si>
  <si>
    <t>Benchmark_ID</t>
  </si>
  <si>
    <t>Fonte</t>
  </si>
  <si>
    <t>Substrato</t>
  </si>
  <si>
    <t>Fórmula</t>
  </si>
  <si>
    <t>CH4_mol_esperado</t>
  </si>
  <si>
    <t>CH4_mol_BioPotGas</t>
  </si>
  <si>
    <t>CO2_mol_esperado</t>
  </si>
  <si>
    <t>CO2_mol_BioPotGas</t>
  </si>
  <si>
    <t>CH4_literature_mL_gVS</t>
  </si>
  <si>
    <t>CH4_BioPotGas_mL_gVS</t>
  </si>
  <si>
    <t>relative_error_percent</t>
  </si>
  <si>
    <t>status</t>
  </si>
  <si>
    <t>observação</t>
  </si>
  <si>
    <t>B01</t>
  </si>
  <si>
    <t>Filer et al. 2019</t>
  </si>
  <si>
    <t>Celulose microcristalina / glucan</t>
  </si>
  <si>
    <t>Aprovado</t>
  </si>
  <si>
    <t>Controle positivo BMP. Diferença associada a arredondamento de massa molar e volume molar.</t>
  </si>
  <si>
    <t>2. Validação do módulo de biodegradabilidade com Llanos-Lizcano et al. 2024</t>
  </si>
  <si>
    <t>ISR</t>
  </si>
  <si>
    <t>BMPth_mL_CH4_gVS</t>
  </si>
  <si>
    <t>SMY_mL_CH4_gVS</t>
  </si>
  <si>
    <t>biodegradability_published_percent</t>
  </si>
  <si>
    <t>biodegradability_BioPotGas_percent</t>
  </si>
  <si>
    <t>difference_percentage_points</t>
  </si>
  <si>
    <t>relative_difference_percent</t>
  </si>
  <si>
    <t>equação</t>
  </si>
  <si>
    <t>unidade</t>
  </si>
  <si>
    <t>B02</t>
  </si>
  <si>
    <t>Llanos-Lizcano et al. 2024</t>
  </si>
  <si>
    <t>Food waste (FW)</t>
  </si>
  <si>
    <t>ISR 2</t>
  </si>
  <si>
    <t>Diferença esperada por arredondamento dos valores publicados.</t>
  </si>
  <si>
    <t>SMY/BMPth × 100</t>
  </si>
  <si>
    <t>mL CH4/g VS</t>
  </si>
  <si>
    <t>B03</t>
  </si>
  <si>
    <t>ISR 1</t>
  </si>
  <si>
    <t>B04</t>
  </si>
  <si>
    <t>Dairy industry waste (DIW)</t>
  </si>
  <si>
    <t>B05</t>
  </si>
  <si>
    <t>B06</t>
  </si>
  <si>
    <t>Brewery waste (BW)</t>
  </si>
  <si>
    <t>B07</t>
  </si>
  <si>
    <t>B08</t>
  </si>
  <si>
    <t>Cardboard waste (CBW)</t>
  </si>
  <si>
    <t>B09</t>
  </si>
  <si>
    <t>3. Validação metodológica e limites de interpretação</t>
  </si>
  <si>
    <t>ID</t>
  </si>
  <si>
    <t>Evidência usada</t>
  </si>
  <si>
    <t>Aplicação no BioPot-Gas</t>
  </si>
  <si>
    <t>Limitação registrada</t>
  </si>
  <si>
    <t>M01</t>
  </si>
  <si>
    <t>Nielfa et al. 2015</t>
  </si>
  <si>
    <t>O potencial teórico indica a produção máxima esperada e o experimental pode ser menor, especialmente para materiais lignocelulósicos.</t>
  </si>
  <si>
    <t>Justifica tratar o resultado como potencial teórico máximo, não como produção real garantida.</t>
  </si>
  <si>
    <t>Não usar como substituto direto de BMP experimental.</t>
  </si>
  <si>
    <t>M02</t>
  </si>
  <si>
    <t>Angelidaki et al. 2009</t>
  </si>
  <si>
    <t>Protocolos BMP exigem padronização de substrato, inoculo, unidades, condições e comparação de resultados.</t>
  </si>
  <si>
    <t>Justifica a necessidade de compatibilidade de base na aba de validação experimental.</t>
  </si>
  <si>
    <t>Comparações não são válidas quando unidades, base seca/VS/COD ou STP não coincidem.</t>
  </si>
  <si>
    <t>M03</t>
  </si>
  <si>
    <t>Zhang et al. 2021</t>
  </si>
  <si>
    <t>Valores de metano na literatura variam conforme método, substrato e forma de reporte.</t>
  </si>
  <si>
    <t>Justifica alertas e uso de benchmarks como faixas de referência.</t>
  </si>
  <si>
    <t>Não generalizar um valor único para todos os substratos.</t>
  </si>
  <si>
    <t>4. Resultado da validação interna</t>
  </si>
  <si>
    <t>Teste</t>
  </si>
  <si>
    <t>Resultado</t>
  </si>
  <si>
    <t>Equação de Buswell para compostos puros</t>
  </si>
  <si>
    <t>Conversão molar para volume normalizado</t>
  </si>
  <si>
    <t>Conversão energética por PCI do CH4</t>
  </si>
  <si>
    <t>Cálculo de biodegradabilidade experimental</t>
  </si>
  <si>
    <t>Alerta para eficiência experimental acima de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</si>
</sst>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i/>
      <sz val="11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6">
    <xf numFmtId="0" fontId="0" fillId="0" borderId="0" xfId="0" applyBorder="1"/>
    <xf numFmtId="0" fontId="1" fillId="2" borderId="1" xfId="0" applyFont="1" applyFill="1" applyAlignment="1">
      <alignment horizontal="center" vertical="center"/>
    </xf>
    <xf numFmtId="0" fontId="2" fillId="3" borderId="0" xfId="0" applyFont="1" applyFill="1" applyBorder="1" applyAlignment="1">
      <alignment wrapText="1"/>
    </xf>
    <xf numFmtId="0" fontId="2" fillId="3" borderId="1" xfId="0" applyFont="1" applyFill="1" applyAlignment="1">
      <alignment wrapText="1"/>
    </xf>
    <xf numFmtId="0" fontId="0" fillId="0" borderId="0" xfId="0" applyBorder="1" applyAlignment="1">
      <alignment wrapText="1"/>
    </xf>
    <xf numFmtId="0" fontId="2" fillId="4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0" fillId="5" borderId="0" xfId="0" applyFill="1" applyBorder="1"/>
    <xf numFmtId="0" fontId="0" fillId="6" borderId="0" xfId="0" applyFill="1" applyBorder="1" applyAlignment="1">
      <alignment wrapText="1"/>
    </xf>
    <xf numFmtId="0" fontId="0" fillId="0" borderId="0" xfId="0" applyBorder="1"/>
    <xf numFmtId="0" fontId="0" fillId="10" borderId="0" xfId="0" applyFill="1" applyBorder="1" applyAlignment="1">
      <alignment wrapText="1"/>
    </xf>
    <xf numFmtId="0" fontId="0" fillId="11" borderId="0" xfId="0" applyFill="1" applyBorder="1" applyAlignment="1">
      <alignment wrapText="1"/>
    </xf>
    <xf numFmtId="0" fontId="2" fillId="8" borderId="0" xfId="0" applyFont="1" applyFill="1" applyBorder="1" applyAlignment="1">
      <alignment wrapText="1"/>
    </xf>
    <xf numFmtId="0" fontId="2" fillId="9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vertical="top" wrapText="1"/>
    </xf>
    <xf numFmtId="0" fontId="4" fillId="4" borderId="0" xfId="0" applyFont="1" applyFill="1" applyBorder="1" applyAlignment="1">
      <alignment vertical="top" wrapText="1"/>
    </xf>
    <xf numFmtId="0" fontId="2" fillId="4" borderId="0" xfId="0" applyFont="1" applyFill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1" fillId="7" borderId="1" xfId="0" applyFont="1" applyFill="1" applyAlignment="1">
      <alignment horizontal="center" wrapText="1"/>
    </xf>
    <xf numFmtId="0" fontId="2" fillId="8" borderId="1" xfId="0" applyFont="1" applyFill="1" applyAlignment="1">
      <alignment wrapText="1"/>
    </xf>
    <xf numFmtId="0" fontId="1" fillId="2" borderId="1" xfId="0" applyFont="1" applyFill="1" applyAlignment="1">
      <alignment horizontal="center" vertical="center"/>
    </xf>
    <xf numFmtId="0" fontId="0" fillId="0" borderId="1" xfId="0"/>
    <xf numFmtId="0" fontId="2" fillId="3" borderId="1" xfId="0" applyFont="1" applyFill="1" applyAlignment="1">
      <alignment horizontal="center" vertical="top" wrapText="1"/>
    </xf>
    <xf numFmtId="0" fontId="4" fillId="3" borderId="1" xfId="0" applyFont="1" applyFill="1" applyAlignment="1">
      <alignment horizontal="center" vertical="top" wrapText="1"/>
    </xf>
    <xf numFmtId="0" fontId="1" fillId="2" borderId="1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/>
  </sheetViews>
  <sheetFormatPr defaultRowHeight="14.25"/>
  <cols>
    <col min="1" max="1" width="28" style="9" customWidth="1"/>
    <col min="2" max="2" width="95" style="9" customWidth="1"/>
    <col min="3" max="8" width="12" style="9" customWidth="1"/>
  </cols>
  <sheetData>
    <row r="1" spans="1:2" ht="18">
      <c r="A1" s="1" t="s">
        <v>0</v>
      </c>
    </row>
    <row r="3" spans="1:2" ht="29.25">
      <c r="A3" s="2" t="s">
        <v>1</v>
      </c>
      <c r="B3" s="4" t="s">
        <v>2</v>
      </c>
    </row>
    <row r="4" spans="1:2" ht="29.25">
      <c r="A4" s="2" t="s">
        <v>3</v>
      </c>
      <c r="B4" s="4" t="s">
        <v>4</v>
      </c>
    </row>
    <row r="5" spans="1:2" ht="43.5">
      <c r="A5" s="2" t="s">
        <v>5</v>
      </c>
      <c r="B5" s="4" t="s">
        <v>6</v>
      </c>
    </row>
    <row r="6" spans="1:2" ht="29.25">
      <c r="A6" s="2" t="s">
        <v>7</v>
      </c>
      <c r="B6" s="4" t="s">
        <v>8</v>
      </c>
    </row>
    <row r="7" spans="1:2" ht="29.25">
      <c r="A7" s="2" t="s">
        <v>9</v>
      </c>
      <c r="B7" s="4" t="s">
        <v>10</v>
      </c>
    </row>
    <row r="8" spans="1:2" ht="29.25">
      <c r="A8" s="2" t="s">
        <v>11</v>
      </c>
      <c r="B8" s="4" t="s">
        <v>12</v>
      </c>
    </row>
    <row r="9" spans="1:2" ht="29.25">
      <c r="A9" s="2" t="s">
        <v>13</v>
      </c>
      <c r="B9" s="4" t="s">
        <v>14</v>
      </c>
    </row>
    <row r="10" spans="1:2" ht="15">
      <c r="A10" s="2" t="s">
        <v>15</v>
      </c>
      <c r="B10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opLeftCell="A14" workbookViewId="0"/>
  </sheetViews>
  <sheetFormatPr defaultRowHeight="14.25"/>
  <cols>
    <col min="1" max="1" width="22" style="9" customWidth="1"/>
    <col min="2" max="2" width="18" style="9" customWidth="1"/>
    <col min="3" max="4" width="12" style="9" customWidth="1"/>
    <col min="5" max="5" width="24" style="9" customWidth="1"/>
    <col min="6" max="10" width="10" style="9" customWidth="1"/>
    <col min="11" max="11" width="14" style="9" customWidth="1"/>
    <col min="12" max="12" width="20" style="9" customWidth="1"/>
    <col min="13" max="13" width="32" style="9" customWidth="1"/>
    <col min="14" max="14" width="12" style="9" customWidth="1"/>
  </cols>
  <sheetData>
    <row r="1" spans="1:4" ht="18">
      <c r="A1" s="1" t="s">
        <v>17</v>
      </c>
    </row>
    <row r="3" spans="1:4" ht="15">
      <c r="A3" s="3" t="s">
        <v>18</v>
      </c>
    </row>
    <row r="4" spans="1:4" ht="45">
      <c r="A4" s="5" t="s">
        <v>19</v>
      </c>
      <c r="B4" s="5" t="s">
        <v>20</v>
      </c>
      <c r="C4" s="5" t="s">
        <v>21</v>
      </c>
      <c r="D4" s="5" t="s">
        <v>22</v>
      </c>
    </row>
    <row r="5" spans="1:4" ht="57.75">
      <c r="A5" s="6" t="s">
        <v>23</v>
      </c>
      <c r="B5" s="7" t="s">
        <v>24</v>
      </c>
      <c r="C5" s="4" t="s">
        <v>25</v>
      </c>
      <c r="D5" t="s">
        <v>26</v>
      </c>
    </row>
    <row r="6" spans="1:4" ht="43.5">
      <c r="A6" s="6" t="s">
        <v>27</v>
      </c>
      <c r="B6" s="7" t="s">
        <v>28</v>
      </c>
      <c r="C6" s="4" t="s">
        <v>29</v>
      </c>
      <c r="D6" t="s">
        <v>26</v>
      </c>
    </row>
    <row r="7" spans="1:4" ht="129">
      <c r="A7" s="6" t="s">
        <v>30</v>
      </c>
      <c r="B7" s="7" t="s">
        <v>31</v>
      </c>
      <c r="C7" s="4" t="s">
        <v>32</v>
      </c>
      <c r="D7" t="s">
        <v>22</v>
      </c>
    </row>
    <row r="8" spans="1:4" ht="72">
      <c r="A8" s="6" t="s">
        <v>33</v>
      </c>
      <c r="B8" s="7">
        <v>0.95</v>
      </c>
      <c r="C8" s="4" t="s">
        <v>34</v>
      </c>
      <c r="D8" t="s">
        <v>22</v>
      </c>
    </row>
    <row r="9" spans="1:4" ht="72">
      <c r="A9" s="6" t="s">
        <v>35</v>
      </c>
      <c r="B9" s="7" t="s">
        <v>36</v>
      </c>
      <c r="C9" s="4" t="s">
        <v>37</v>
      </c>
      <c r="D9" t="s">
        <v>22</v>
      </c>
    </row>
    <row r="10" spans="1:4" ht="57.75">
      <c r="A10" s="6" t="s">
        <v>38</v>
      </c>
      <c r="B10" s="7" t="s">
        <v>39</v>
      </c>
      <c r="C10" s="4" t="s">
        <v>40</v>
      </c>
      <c r="D10" t="s">
        <v>22</v>
      </c>
    </row>
    <row r="11" spans="1:4" ht="43.5">
      <c r="A11" s="6" t="s">
        <v>41</v>
      </c>
      <c r="B11" s="7">
        <v>0</v>
      </c>
      <c r="C11" s="4" t="s">
        <v>42</v>
      </c>
      <c r="D11" t="s">
        <v>22</v>
      </c>
    </row>
    <row r="12" spans="1:4" ht="29.25">
      <c r="A12" s="6" t="s">
        <v>43</v>
      </c>
      <c r="B12" s="7">
        <v>101.325</v>
      </c>
      <c r="C12" s="4" t="s">
        <v>44</v>
      </c>
      <c r="D12" t="s">
        <v>22</v>
      </c>
    </row>
    <row r="13" spans="1:4" ht="43.5">
      <c r="A13" s="6" t="s">
        <v>45</v>
      </c>
      <c r="B13" s="7">
        <v>35.799999999999997</v>
      </c>
      <c r="C13" s="4" t="s">
        <v>46</v>
      </c>
      <c r="D13" t="s">
        <v>22</v>
      </c>
    </row>
    <row r="14" spans="1:4" ht="43.5">
      <c r="A14" s="6" t="s">
        <v>47</v>
      </c>
      <c r="B14" s="7">
        <v>0.27777800000000002</v>
      </c>
      <c r="C14" s="4" t="s">
        <v>48</v>
      </c>
      <c r="D14" t="s">
        <v>22</v>
      </c>
    </row>
    <row r="15" spans="1:4" ht="43.5">
      <c r="A15" s="6" t="s">
        <v>49</v>
      </c>
      <c r="B15" s="7" t="s">
        <v>50</v>
      </c>
      <c r="C15" s="4" t="s">
        <v>51</v>
      </c>
      <c r="D15" t="s">
        <v>26</v>
      </c>
    </row>
    <row r="18" spans="1:14" ht="114">
      <c r="A18" s="14" t="s">
        <v>52</v>
      </c>
    </row>
    <row r="19" spans="1:14" ht="60">
      <c r="A19" s="3" t="s">
        <v>53</v>
      </c>
    </row>
    <row r="20" spans="1:14" ht="15">
      <c r="A20" s="5" t="s">
        <v>54</v>
      </c>
      <c r="B20" s="5" t="s">
        <v>55</v>
      </c>
      <c r="C20" s="5" t="s">
        <v>56</v>
      </c>
      <c r="D20" s="5" t="s">
        <v>57</v>
      </c>
      <c r="E20" s="5" t="s">
        <v>58</v>
      </c>
      <c r="F20" s="5" t="s">
        <v>59</v>
      </c>
      <c r="G20" s="5" t="s">
        <v>60</v>
      </c>
      <c r="H20" s="5" t="s">
        <v>61</v>
      </c>
      <c r="I20" s="5" t="s">
        <v>62</v>
      </c>
      <c r="J20" s="5" t="s">
        <v>63</v>
      </c>
      <c r="K20" s="5" t="s">
        <v>64</v>
      </c>
      <c r="L20" s="5" t="s">
        <v>65</v>
      </c>
      <c r="M20" s="5" t="s">
        <v>66</v>
      </c>
      <c r="N20" s="5" t="s">
        <v>67</v>
      </c>
    </row>
    <row r="21" spans="1:14">
      <c r="A21" s="8" t="s">
        <v>68</v>
      </c>
      <c r="B21" s="8" t="s">
        <v>69</v>
      </c>
      <c r="C21" s="8" t="s">
        <v>36</v>
      </c>
      <c r="D21" s="8">
        <v>1</v>
      </c>
      <c r="E21" s="8"/>
      <c r="F21" s="8"/>
      <c r="G21" s="8"/>
      <c r="H21" s="8"/>
      <c r="I21" s="8"/>
      <c r="J21" s="8"/>
      <c r="K21" s="8" t="s">
        <v>70</v>
      </c>
      <c r="L21" s="8" t="s">
        <v>71</v>
      </c>
      <c r="M21" s="8" t="s">
        <v>72</v>
      </c>
      <c r="N21" s="8" t="s">
        <v>36</v>
      </c>
    </row>
    <row r="22" spans="1:14">
      <c r="A22" s="8" t="s">
        <v>73</v>
      </c>
      <c r="B22" s="8" t="s">
        <v>69</v>
      </c>
      <c r="C22" s="8" t="s">
        <v>36</v>
      </c>
      <c r="D22" s="8">
        <v>0.5</v>
      </c>
      <c r="E22" s="8"/>
      <c r="F22" s="8"/>
      <c r="G22" s="8"/>
      <c r="H22" s="8"/>
      <c r="I22" s="8"/>
      <c r="J22" s="8"/>
      <c r="K22" s="8" t="s">
        <v>70</v>
      </c>
      <c r="L22" s="8" t="s">
        <v>71</v>
      </c>
      <c r="M22" s="8" t="s">
        <v>72</v>
      </c>
      <c r="N22" s="8" t="s">
        <v>36</v>
      </c>
    </row>
    <row r="23" spans="1:14">
      <c r="A23" s="8" t="s">
        <v>74</v>
      </c>
      <c r="B23" s="8" t="s">
        <v>75</v>
      </c>
      <c r="C23" s="8" t="s">
        <v>36</v>
      </c>
      <c r="D23" s="8">
        <v>0.2</v>
      </c>
      <c r="E23" s="8"/>
      <c r="F23" s="8"/>
      <c r="G23" s="8"/>
      <c r="H23" s="8"/>
      <c r="I23" s="8"/>
      <c r="J23" s="8"/>
      <c r="K23" s="8" t="s">
        <v>70</v>
      </c>
      <c r="L23" s="8" t="s">
        <v>71</v>
      </c>
      <c r="M23" s="8" t="s">
        <v>72</v>
      </c>
      <c r="N23" s="8" t="s">
        <v>36</v>
      </c>
    </row>
    <row r="24" spans="1:14" ht="28.5">
      <c r="A24" s="8" t="s">
        <v>76</v>
      </c>
      <c r="B24" s="8" t="s">
        <v>77</v>
      </c>
      <c r="C24" s="8" t="s">
        <v>39</v>
      </c>
      <c r="D24" s="8">
        <v>0.1</v>
      </c>
      <c r="E24" s="8"/>
      <c r="F24" s="8"/>
      <c r="G24" s="8"/>
      <c r="H24" s="8"/>
      <c r="I24" s="8"/>
      <c r="J24" s="8"/>
      <c r="K24" s="8" t="s">
        <v>70</v>
      </c>
      <c r="L24" s="8" t="s">
        <v>71</v>
      </c>
      <c r="M24" s="8" t="s">
        <v>78</v>
      </c>
      <c r="N24" s="8" t="s">
        <v>36</v>
      </c>
    </row>
    <row r="25" spans="1:14">
      <c r="A25" s="8" t="s">
        <v>79</v>
      </c>
      <c r="B25" s="8" t="s">
        <v>80</v>
      </c>
      <c r="C25" s="8" t="s">
        <v>36</v>
      </c>
      <c r="D25" s="8">
        <v>0</v>
      </c>
      <c r="E25" s="8" t="s">
        <v>81</v>
      </c>
      <c r="F25" s="8"/>
      <c r="G25" s="8"/>
      <c r="H25" s="8"/>
      <c r="I25" s="8"/>
      <c r="J25" s="8"/>
      <c r="K25" s="8" t="s">
        <v>82</v>
      </c>
      <c r="L25" s="8" t="s">
        <v>83</v>
      </c>
      <c r="M25" s="8" t="s">
        <v>84</v>
      </c>
      <c r="N25" s="8" t="s">
        <v>39</v>
      </c>
    </row>
    <row r="26" spans="1:14">
      <c r="A26" s="8" t="s">
        <v>85</v>
      </c>
      <c r="B26" s="8" t="s">
        <v>80</v>
      </c>
      <c r="C26" s="8" t="s">
        <v>36</v>
      </c>
      <c r="D26" s="8">
        <v>0</v>
      </c>
      <c r="E26" s="8"/>
      <c r="F26" s="8">
        <v>6</v>
      </c>
      <c r="G26" s="8">
        <v>10</v>
      </c>
      <c r="H26" s="8">
        <v>5</v>
      </c>
      <c r="I26" s="8">
        <v>0</v>
      </c>
      <c r="J26" s="8">
        <v>0</v>
      </c>
      <c r="K26" s="8" t="s">
        <v>86</v>
      </c>
      <c r="L26" s="8" t="s">
        <v>83</v>
      </c>
      <c r="M26" s="8" t="s">
        <v>84</v>
      </c>
      <c r="N26" s="8" t="s">
        <v>39</v>
      </c>
    </row>
  </sheetData>
  <dataValidations count="2">
    <dataValidation type="list" sqref="C21:C200 N21:N200" xr:uid="{00000000-0002-0000-0100-000000000000}">
      <formula1>"TRUE,FALSE"</formula1>
    </dataValidation>
    <dataValidation type="list" sqref="K21:K200" xr:uid="{00000000-0002-0000-0100-000001000000}">
      <formula1>"DATABASE,FORMULA,ELEMENTS"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"/>
  <sheetViews>
    <sheetView tabSelected="1" workbookViewId="0">
      <selection activeCell="F43" sqref="F43"/>
    </sheetView>
  </sheetViews>
  <sheetFormatPr defaultRowHeight="14.25"/>
  <cols>
    <col min="1" max="1" width="34" style="9" customWidth="1"/>
    <col min="2" max="2" width="22" style="9" customWidth="1"/>
    <col min="3" max="3" width="26" style="9" customWidth="1"/>
    <col min="4" max="6" width="18" style="9" customWidth="1"/>
  </cols>
  <sheetData>
    <row r="1" spans="1:6" ht="36" customHeight="1">
      <c r="A1" s="25" t="s">
        <v>87</v>
      </c>
      <c r="B1" s="25"/>
      <c r="C1" s="25"/>
    </row>
    <row r="2" spans="1:6" ht="15">
      <c r="A2" s="24" t="s">
        <v>88</v>
      </c>
      <c r="B2" s="24"/>
      <c r="C2" s="24"/>
    </row>
    <row r="3" spans="1:6" ht="15">
      <c r="A3" s="16" t="s">
        <v>89</v>
      </c>
      <c r="B3" s="16" t="s">
        <v>90</v>
      </c>
      <c r="C3" s="16" t="s">
        <v>91</v>
      </c>
      <c r="D3" s="4"/>
      <c r="E3" s="4"/>
      <c r="F3" s="4"/>
    </row>
    <row r="4" spans="1:6">
      <c r="A4" s="15" t="s">
        <v>19</v>
      </c>
      <c r="B4" s="15" t="str">
        <f>'01_INPUTS'!B4</f>
        <v>Example BioPot-Gas v0.5</v>
      </c>
      <c r="C4" s="15"/>
      <c r="D4" s="4"/>
      <c r="E4" s="4"/>
      <c r="F4" s="4"/>
    </row>
    <row r="5" spans="1:6">
      <c r="A5" s="15" t="s">
        <v>23</v>
      </c>
      <c r="B5" s="15" t="str">
        <f>'01_INPUTS'!B5</f>
        <v>Edgar Amaral Silveira</v>
      </c>
      <c r="C5" s="15"/>
      <c r="D5" s="4"/>
      <c r="E5" s="4"/>
      <c r="F5" s="4"/>
    </row>
    <row r="6" spans="1:6">
      <c r="A6" s="15" t="s">
        <v>27</v>
      </c>
      <c r="B6" s="15" t="str">
        <f>'01_INPUTS'!B6</f>
        <v>2026-06-05</v>
      </c>
      <c r="C6" s="15"/>
      <c r="D6" s="4"/>
      <c r="E6" s="4"/>
      <c r="F6" s="4"/>
    </row>
    <row r="7" spans="1:6">
      <c r="A7" s="15" t="s">
        <v>30</v>
      </c>
      <c r="B7" s="15" t="str">
        <f>'01_INPUTS'!B7</f>
        <v>kmol/h</v>
      </c>
      <c r="C7" s="15"/>
      <c r="D7" s="4"/>
      <c r="E7" s="4"/>
      <c r="F7" s="4"/>
    </row>
    <row r="8" spans="1:6">
      <c r="A8" s="15"/>
      <c r="B8" s="15"/>
      <c r="C8" s="15"/>
      <c r="D8" s="4"/>
      <c r="E8" s="4"/>
      <c r="F8" s="4"/>
    </row>
    <row r="9" spans="1:6" ht="15">
      <c r="A9" s="24" t="s">
        <v>92</v>
      </c>
      <c r="B9" s="24"/>
      <c r="C9" s="24"/>
    </row>
    <row r="10" spans="1:6" ht="15">
      <c r="A10" s="16" t="s">
        <v>89</v>
      </c>
      <c r="B10" s="16" t="s">
        <v>90</v>
      </c>
      <c r="C10" s="16" t="s">
        <v>91</v>
      </c>
      <c r="D10" s="4"/>
      <c r="E10" s="4"/>
      <c r="F10" s="4"/>
    </row>
    <row r="11" spans="1:6">
      <c r="A11" s="15" t="s">
        <v>33</v>
      </c>
      <c r="B11" s="15"/>
      <c r="C11" s="15" t="s">
        <v>93</v>
      </c>
      <c r="D11" s="4"/>
      <c r="E11" s="4"/>
      <c r="F11" s="4"/>
    </row>
    <row r="12" spans="1:6">
      <c r="A12" s="15" t="s">
        <v>38</v>
      </c>
      <c r="B12" s="15"/>
      <c r="C12" s="15" t="s">
        <v>94</v>
      </c>
      <c r="D12" s="4"/>
      <c r="E12" s="4"/>
      <c r="F12" s="4"/>
    </row>
    <row r="13" spans="1:6">
      <c r="A13" s="15" t="s">
        <v>41</v>
      </c>
      <c r="B13" s="15"/>
      <c r="C13" s="15" t="s">
        <v>95</v>
      </c>
      <c r="D13" s="4"/>
      <c r="E13" s="4"/>
      <c r="F13" s="4"/>
    </row>
    <row r="14" spans="1:6">
      <c r="A14" s="15" t="s">
        <v>43</v>
      </c>
      <c r="B14" s="15"/>
      <c r="C14" s="15" t="s">
        <v>96</v>
      </c>
      <c r="D14" s="4"/>
      <c r="E14" s="4"/>
      <c r="F14" s="4"/>
    </row>
    <row r="15" spans="1:6">
      <c r="A15" s="15" t="s">
        <v>97</v>
      </c>
      <c r="B15" s="15"/>
      <c r="C15" s="15" t="s">
        <v>98</v>
      </c>
      <c r="D15" s="4"/>
      <c r="E15" s="4"/>
      <c r="F15" s="4"/>
    </row>
    <row r="16" spans="1:6">
      <c r="A16" s="9" t="s">
        <v>45</v>
      </c>
      <c r="C16" s="9" t="s">
        <v>99</v>
      </c>
    </row>
    <row r="17" spans="1:6">
      <c r="A17" s="9" t="s">
        <v>47</v>
      </c>
      <c r="C17" s="9" t="s">
        <v>100</v>
      </c>
      <c r="D17" s="4"/>
      <c r="E17" s="4"/>
      <c r="F17" s="4"/>
    </row>
    <row r="18" spans="1:6">
      <c r="A18" s="15" t="s">
        <v>101</v>
      </c>
      <c r="B18" s="15"/>
      <c r="C18" s="15" t="s">
        <v>102</v>
      </c>
      <c r="D18" s="4"/>
      <c r="E18" s="4"/>
      <c r="F18" s="4"/>
    </row>
    <row r="19" spans="1:6">
      <c r="A19" s="15"/>
      <c r="B19" s="15"/>
      <c r="C19" s="15"/>
      <c r="D19" s="4"/>
      <c r="E19" s="4"/>
      <c r="F19" s="4"/>
    </row>
    <row r="20" spans="1:6" ht="15">
      <c r="A20" s="23" t="s">
        <v>103</v>
      </c>
      <c r="B20" s="23"/>
      <c r="C20" s="23"/>
      <c r="D20" s="4"/>
      <c r="E20" s="4"/>
      <c r="F20" s="4"/>
    </row>
    <row r="21" spans="1:6" ht="15">
      <c r="A21" s="17" t="s">
        <v>89</v>
      </c>
      <c r="B21" s="17" t="s">
        <v>90</v>
      </c>
      <c r="C21" s="17" t="s">
        <v>91</v>
      </c>
      <c r="D21" s="4"/>
      <c r="E21" s="4"/>
      <c r="F21" s="4"/>
    </row>
    <row r="22" spans="1:6">
      <c r="A22" s="15" t="s">
        <v>104</v>
      </c>
      <c r="B22" s="15"/>
      <c r="C22" s="15" t="s">
        <v>105</v>
      </c>
      <c r="D22" s="4"/>
      <c r="E22" s="4"/>
      <c r="F22" s="4"/>
    </row>
    <row r="23" spans="1:6">
      <c r="A23" s="15" t="s">
        <v>106</v>
      </c>
      <c r="B23" s="15"/>
      <c r="C23" s="15" t="s">
        <v>105</v>
      </c>
      <c r="D23" s="4"/>
      <c r="E23" s="4"/>
      <c r="F23" s="4"/>
    </row>
    <row r="24" spans="1:6">
      <c r="A24" s="15" t="s">
        <v>107</v>
      </c>
      <c r="B24" s="15"/>
      <c r="C24" s="15" t="s">
        <v>105</v>
      </c>
      <c r="D24" s="4"/>
      <c r="E24" s="4"/>
      <c r="F24" s="4"/>
    </row>
    <row r="25" spans="1:6">
      <c r="A25" s="15" t="s">
        <v>108</v>
      </c>
      <c r="B25" s="15"/>
      <c r="C25" s="15" t="s">
        <v>105</v>
      </c>
      <c r="D25" s="4"/>
      <c r="E25" s="4"/>
      <c r="F25" s="4"/>
    </row>
    <row r="26" spans="1:6">
      <c r="A26" s="9" t="s">
        <v>109</v>
      </c>
      <c r="C26" s="9" t="s">
        <v>105</v>
      </c>
    </row>
    <row r="27" spans="1:6">
      <c r="A27" s="9" t="s">
        <v>110</v>
      </c>
      <c r="C27" s="9" t="s">
        <v>93</v>
      </c>
      <c r="D27" s="4"/>
      <c r="E27" s="4"/>
      <c r="F27" s="4"/>
    </row>
    <row r="28" spans="1:6">
      <c r="A28" s="15" t="s">
        <v>111</v>
      </c>
      <c r="B28" s="15"/>
      <c r="C28" s="15" t="s">
        <v>105</v>
      </c>
      <c r="D28" s="4"/>
      <c r="E28" s="4"/>
      <c r="F28" s="4"/>
    </row>
    <row r="29" spans="1:6">
      <c r="A29" s="15"/>
      <c r="B29" s="15"/>
      <c r="C29" s="15"/>
      <c r="D29" s="4"/>
      <c r="E29" s="4"/>
      <c r="F29" s="4"/>
    </row>
    <row r="30" spans="1:6" ht="15">
      <c r="A30" s="23" t="s">
        <v>112</v>
      </c>
      <c r="B30" s="23"/>
      <c r="C30" s="23"/>
      <c r="D30" s="4"/>
      <c r="E30" s="4"/>
      <c r="F30" s="4"/>
    </row>
    <row r="31" spans="1:6" ht="15">
      <c r="A31" s="17" t="s">
        <v>89</v>
      </c>
      <c r="B31" s="17" t="s">
        <v>90</v>
      </c>
      <c r="C31" s="17" t="s">
        <v>91</v>
      </c>
      <c r="D31" s="4"/>
      <c r="E31" s="4"/>
      <c r="F31" s="4"/>
    </row>
    <row r="32" spans="1:6">
      <c r="A32" s="15" t="s">
        <v>113</v>
      </c>
      <c r="B32" s="15"/>
      <c r="C32" s="15" t="s">
        <v>114</v>
      </c>
      <c r="D32" s="4"/>
      <c r="E32" s="4"/>
      <c r="F32" s="4"/>
    </row>
    <row r="33" spans="1:6">
      <c r="A33" s="15" t="s">
        <v>115</v>
      </c>
      <c r="B33" s="15"/>
      <c r="C33" s="15" t="s">
        <v>114</v>
      </c>
      <c r="D33" s="4"/>
      <c r="E33" s="4"/>
      <c r="F33" s="4"/>
    </row>
    <row r="34" spans="1:6">
      <c r="A34" s="9" t="s">
        <v>116</v>
      </c>
      <c r="C34" s="9" t="s">
        <v>114</v>
      </c>
      <c r="D34" s="4"/>
      <c r="E34" s="4"/>
      <c r="F34" s="4"/>
    </row>
    <row r="35" spans="1:6">
      <c r="A35" s="9" t="s">
        <v>117</v>
      </c>
      <c r="C35" s="9" t="s">
        <v>114</v>
      </c>
    </row>
    <row r="36" spans="1:6">
      <c r="A36" s="9" t="s">
        <v>118</v>
      </c>
      <c r="C36" s="9" t="s">
        <v>114</v>
      </c>
      <c r="D36" s="4"/>
      <c r="E36" s="4"/>
      <c r="F36" s="4"/>
    </row>
    <row r="37" spans="1:6">
      <c r="A37" s="9" t="s">
        <v>119</v>
      </c>
      <c r="C37" s="9" t="s">
        <v>114</v>
      </c>
      <c r="D37" s="4"/>
      <c r="E37" s="4"/>
      <c r="F37" s="4"/>
    </row>
    <row r="38" spans="1:6">
      <c r="A38" s="15"/>
      <c r="B38" s="15"/>
      <c r="C38" s="15"/>
      <c r="D38" s="4"/>
      <c r="E38" s="4"/>
      <c r="F38" s="4"/>
    </row>
    <row r="39" spans="1:6" s="9" customFormat="1" ht="15">
      <c r="A39" s="23" t="s">
        <v>120</v>
      </c>
      <c r="B39" s="23"/>
      <c r="C39" s="23"/>
      <c r="D39" s="4"/>
      <c r="E39" s="4"/>
      <c r="F39" s="4"/>
    </row>
    <row r="40" spans="1:6" ht="15">
      <c r="A40" s="17" t="s">
        <v>89</v>
      </c>
      <c r="B40" s="17" t="s">
        <v>90</v>
      </c>
      <c r="C40" s="17" t="s">
        <v>91</v>
      </c>
      <c r="D40" s="4"/>
      <c r="E40" s="4"/>
      <c r="F40" s="4"/>
    </row>
    <row r="41" spans="1:6">
      <c r="A41" s="9" t="s">
        <v>121</v>
      </c>
      <c r="C41" s="9" t="s">
        <v>122</v>
      </c>
    </row>
    <row r="42" spans="1:6">
      <c r="A42" s="9" t="s">
        <v>123</v>
      </c>
      <c r="C42" s="9" t="s">
        <v>122</v>
      </c>
      <c r="D42" s="4"/>
      <c r="E42" s="4"/>
      <c r="F42" s="4"/>
    </row>
    <row r="43" spans="1:6">
      <c r="A43" s="9" t="s">
        <v>124</v>
      </c>
      <c r="C43" s="9" t="s">
        <v>122</v>
      </c>
      <c r="D43" s="4"/>
      <c r="E43" s="4"/>
      <c r="F43" s="4"/>
    </row>
    <row r="44" spans="1:6">
      <c r="A44" s="9" t="s">
        <v>125</v>
      </c>
      <c r="C44" s="9" t="s">
        <v>122</v>
      </c>
      <c r="D44" s="4"/>
      <c r="E44" s="4"/>
      <c r="F44" s="4"/>
    </row>
    <row r="45" spans="1:6">
      <c r="A45" s="15" t="s">
        <v>126</v>
      </c>
      <c r="B45" s="15"/>
      <c r="C45" s="15" t="s">
        <v>122</v>
      </c>
      <c r="D45" s="4"/>
      <c r="E45" s="4"/>
      <c r="F45" s="4"/>
    </row>
    <row r="46" spans="1:6">
      <c r="A46" s="15" t="s">
        <v>127</v>
      </c>
      <c r="B46" s="15"/>
      <c r="C46" s="15" t="s">
        <v>128</v>
      </c>
      <c r="D46" s="4"/>
      <c r="E46" s="4"/>
      <c r="F46" s="4"/>
    </row>
    <row r="47" spans="1:6">
      <c r="A47" s="15"/>
      <c r="B47" s="15"/>
      <c r="C47" s="15"/>
      <c r="D47" s="4"/>
      <c r="E47" s="4"/>
      <c r="F47" s="4"/>
    </row>
    <row r="48" spans="1:6" ht="15">
      <c r="A48" s="23" t="s">
        <v>129</v>
      </c>
      <c r="B48" s="23"/>
      <c r="C48" s="23"/>
      <c r="D48" s="4"/>
      <c r="E48" s="4"/>
      <c r="F48" s="4"/>
    </row>
    <row r="49" spans="1:6" ht="15">
      <c r="A49" s="17" t="s">
        <v>89</v>
      </c>
      <c r="B49" s="17" t="s">
        <v>90</v>
      </c>
      <c r="C49" s="17" t="s">
        <v>91</v>
      </c>
      <c r="D49" s="4"/>
      <c r="E49" s="4"/>
      <c r="F49" s="4"/>
    </row>
    <row r="50" spans="1:6">
      <c r="A50" s="15" t="s">
        <v>130</v>
      </c>
      <c r="B50" s="15"/>
      <c r="C50" s="15" t="s">
        <v>131</v>
      </c>
      <c r="D50" s="4"/>
      <c r="E50" s="4"/>
      <c r="F50" s="4"/>
    </row>
    <row r="51" spans="1:6">
      <c r="A51" s="15" t="s">
        <v>132</v>
      </c>
      <c r="B51" s="15"/>
      <c r="C51" s="15" t="s">
        <v>133</v>
      </c>
      <c r="D51" s="4"/>
      <c r="E51" s="4"/>
      <c r="F51" s="4"/>
    </row>
    <row r="52" spans="1:6">
      <c r="A52" s="15" t="s">
        <v>134</v>
      </c>
      <c r="B52" s="15"/>
      <c r="C52" s="15" t="s">
        <v>135</v>
      </c>
      <c r="D52" s="4"/>
      <c r="E52" s="4"/>
      <c r="F52" s="4"/>
    </row>
    <row r="53" spans="1:6">
      <c r="A53" s="15"/>
      <c r="B53" s="15"/>
      <c r="C53" s="15"/>
      <c r="D53" s="4"/>
      <c r="E53" s="4"/>
      <c r="F53" s="4"/>
    </row>
    <row r="54" spans="1:6" ht="15">
      <c r="A54" s="23" t="s">
        <v>136</v>
      </c>
      <c r="B54" s="23"/>
      <c r="C54" s="23"/>
      <c r="D54" s="4"/>
      <c r="E54" s="4"/>
      <c r="F54" s="4"/>
    </row>
    <row r="55" spans="1:6" ht="15">
      <c r="A55" s="17" t="s">
        <v>89</v>
      </c>
      <c r="B55" s="17" t="s">
        <v>90</v>
      </c>
      <c r="C55" s="17" t="s">
        <v>91</v>
      </c>
      <c r="D55" s="4"/>
      <c r="E55" s="4"/>
      <c r="F55" s="4"/>
    </row>
    <row r="56" spans="1:6">
      <c r="A56" s="15" t="s">
        <v>137</v>
      </c>
      <c r="B56" s="15"/>
      <c r="C56" s="15" t="s">
        <v>105</v>
      </c>
      <c r="D56" s="4"/>
      <c r="E56" s="4"/>
      <c r="F56" s="4"/>
    </row>
    <row r="57" spans="1:6">
      <c r="A57" s="15" t="s">
        <v>138</v>
      </c>
      <c r="B57" s="15"/>
      <c r="C57" s="15" t="s">
        <v>105</v>
      </c>
      <c r="D57" s="4"/>
      <c r="E57" s="4"/>
      <c r="F57" s="4"/>
    </row>
    <row r="58" spans="1:6">
      <c r="A58" s="15" t="s">
        <v>139</v>
      </c>
      <c r="B58" s="15"/>
      <c r="C58" s="15" t="s">
        <v>105</v>
      </c>
      <c r="D58" s="4"/>
      <c r="E58" s="4"/>
      <c r="F58" s="4"/>
    </row>
    <row r="59" spans="1:6">
      <c r="A59" s="15" t="s">
        <v>140</v>
      </c>
      <c r="B59" s="15"/>
      <c r="C59" s="15" t="s">
        <v>114</v>
      </c>
      <c r="D59" s="4"/>
      <c r="E59" s="4"/>
      <c r="F59" s="4"/>
    </row>
    <row r="60" spans="1:6">
      <c r="A60" s="15" t="s">
        <v>141</v>
      </c>
      <c r="B60" s="15"/>
      <c r="C60" s="15" t="s">
        <v>142</v>
      </c>
      <c r="D60" s="4"/>
      <c r="E60" s="4"/>
      <c r="F60" s="4"/>
    </row>
    <row r="61" spans="1:6">
      <c r="A61" s="15" t="s">
        <v>143</v>
      </c>
      <c r="B61" s="15"/>
      <c r="C61" s="15" t="s">
        <v>142</v>
      </c>
      <c r="D61" s="4"/>
      <c r="E61" s="4"/>
      <c r="F61" s="4"/>
    </row>
    <row r="62" spans="1:6">
      <c r="A62" s="15"/>
      <c r="B62" s="15"/>
      <c r="C62" s="15"/>
      <c r="D62" s="4"/>
      <c r="E62" s="4"/>
      <c r="F62" s="4"/>
    </row>
    <row r="63" spans="1:6" ht="15">
      <c r="A63" s="23" t="s">
        <v>144</v>
      </c>
      <c r="B63" s="23"/>
      <c r="C63" s="23"/>
      <c r="D63" s="4"/>
      <c r="E63" s="4"/>
      <c r="F63" s="4"/>
    </row>
    <row r="64" spans="1:6" ht="15">
      <c r="A64" s="17" t="s">
        <v>89</v>
      </c>
      <c r="B64" s="17" t="s">
        <v>90</v>
      </c>
      <c r="C64" s="17" t="s">
        <v>91</v>
      </c>
      <c r="D64" s="4"/>
      <c r="E64" s="4"/>
      <c r="F64" s="4"/>
    </row>
    <row r="65" spans="1:6">
      <c r="A65" s="15" t="s">
        <v>145</v>
      </c>
      <c r="B65" s="15"/>
      <c r="C65" s="15" t="s">
        <v>142</v>
      </c>
      <c r="D65" s="4"/>
      <c r="E65" s="4"/>
      <c r="F65" s="4"/>
    </row>
    <row r="66" spans="1:6">
      <c r="A66" s="15" t="s">
        <v>146</v>
      </c>
      <c r="B66" s="15"/>
      <c r="C66" s="15" t="s">
        <v>142</v>
      </c>
      <c r="D66" s="4"/>
      <c r="E66" s="4"/>
      <c r="F66" s="4"/>
    </row>
    <row r="67" spans="1:6">
      <c r="A67" s="15" t="s">
        <v>147</v>
      </c>
      <c r="B67" s="15"/>
      <c r="C67" s="15" t="s">
        <v>142</v>
      </c>
      <c r="D67" s="4"/>
      <c r="E67" s="4"/>
      <c r="F67" s="4"/>
    </row>
    <row r="68" spans="1:6">
      <c r="A68" s="15" t="s">
        <v>148</v>
      </c>
      <c r="B68" s="15"/>
      <c r="C68" s="15" t="s">
        <v>142</v>
      </c>
      <c r="D68" s="4"/>
      <c r="E68" s="4"/>
      <c r="F68" s="4"/>
    </row>
    <row r="69" spans="1:6">
      <c r="A69" s="15"/>
      <c r="B69" s="15"/>
      <c r="C69" s="15"/>
      <c r="D69" s="4"/>
      <c r="E69" s="4"/>
      <c r="F69" s="4"/>
    </row>
    <row r="70" spans="1:6">
      <c r="A70" s="15"/>
      <c r="B70" s="15"/>
      <c r="C70" s="15"/>
      <c r="D70" s="4"/>
      <c r="E70" s="4"/>
      <c r="F70" s="4"/>
    </row>
    <row r="71" spans="1:6">
      <c r="A71" s="15"/>
      <c r="B71" s="15"/>
      <c r="C71" s="15"/>
      <c r="D71" s="4"/>
      <c r="E71" s="4"/>
      <c r="F71" s="4"/>
    </row>
    <row r="72" spans="1:6">
      <c r="A72" s="15"/>
      <c r="B72" s="15"/>
      <c r="C72" s="15"/>
      <c r="D72" s="4"/>
      <c r="E72" s="4"/>
      <c r="F72" s="4"/>
    </row>
    <row r="73" spans="1:6">
      <c r="A73" s="15"/>
      <c r="B73" s="15"/>
      <c r="C73" s="15"/>
      <c r="D73" s="4"/>
      <c r="E73" s="4"/>
      <c r="F73" s="4"/>
    </row>
    <row r="74" spans="1:6">
      <c r="A74" s="15"/>
      <c r="B74" s="15"/>
      <c r="C74" s="15"/>
      <c r="D74" s="4"/>
      <c r="E74" s="4"/>
      <c r="F74" s="4"/>
    </row>
    <row r="75" spans="1:6">
      <c r="A75" s="15"/>
      <c r="B75" s="15"/>
      <c r="C75" s="15"/>
      <c r="D75" s="4"/>
      <c r="E75" s="4"/>
      <c r="F75" s="4"/>
    </row>
    <row r="76" spans="1:6">
      <c r="A76" s="15"/>
      <c r="B76" s="15"/>
      <c r="C76" s="15"/>
      <c r="D76" s="4"/>
      <c r="E76" s="4"/>
      <c r="F76" s="4"/>
    </row>
    <row r="77" spans="1:6">
      <c r="A77" s="15"/>
      <c r="B77" s="15"/>
      <c r="C77" s="15"/>
      <c r="D77" s="4"/>
      <c r="E77" s="4"/>
      <c r="F77" s="4"/>
    </row>
    <row r="78" spans="1:6">
      <c r="A78" s="15"/>
      <c r="B78" s="15"/>
      <c r="C78" s="15"/>
      <c r="D78" s="4"/>
      <c r="E78" s="4"/>
      <c r="F78" s="4"/>
    </row>
    <row r="79" spans="1:6">
      <c r="A79" s="15"/>
      <c r="B79" s="15"/>
      <c r="C79" s="15"/>
      <c r="D79" s="4"/>
      <c r="E79" s="4"/>
      <c r="F79" s="4"/>
    </row>
  </sheetData>
  <mergeCells count="9">
    <mergeCell ref="A9:C9"/>
    <mergeCell ref="A2:C2"/>
    <mergeCell ref="A1:C1"/>
    <mergeCell ref="A63:C63"/>
    <mergeCell ref="A54:C54"/>
    <mergeCell ref="A48:C48"/>
    <mergeCell ref="A39:C39"/>
    <mergeCell ref="A30:C30"/>
    <mergeCell ref="A20:C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/>
  </sheetViews>
  <sheetFormatPr defaultRowHeight="14.25"/>
  <cols>
    <col min="1" max="2" width="24" style="9" customWidth="1"/>
    <col min="3" max="7" width="10" style="9" customWidth="1"/>
    <col min="8" max="8" width="22" style="9" customWidth="1"/>
    <col min="9" max="9" width="16" style="9" customWidth="1"/>
    <col min="10" max="10" width="28" style="9" customWidth="1"/>
    <col min="11" max="11" width="10" style="9" customWidth="1"/>
  </cols>
  <sheetData>
    <row r="1" spans="1:11" ht="18">
      <c r="A1" s="21" t="s">
        <v>149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30">
      <c r="A3" s="5" t="s">
        <v>54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55</v>
      </c>
      <c r="I3" s="5" t="s">
        <v>150</v>
      </c>
      <c r="J3" s="5" t="s">
        <v>151</v>
      </c>
      <c r="K3" s="5" t="s">
        <v>152</v>
      </c>
    </row>
    <row r="4" spans="1:11">
      <c r="A4" s="4" t="s">
        <v>68</v>
      </c>
      <c r="B4" s="4" t="s">
        <v>153</v>
      </c>
      <c r="C4" s="4">
        <v>6</v>
      </c>
      <c r="D4" s="4">
        <v>12</v>
      </c>
      <c r="E4" s="4">
        <v>6</v>
      </c>
      <c r="F4" s="4">
        <v>0</v>
      </c>
      <c r="G4" s="4">
        <v>0</v>
      </c>
      <c r="H4" s="4" t="s">
        <v>69</v>
      </c>
      <c r="I4" s="4" t="s">
        <v>36</v>
      </c>
      <c r="J4" s="4" t="s">
        <v>154</v>
      </c>
      <c r="K4" s="4" t="s">
        <v>36</v>
      </c>
    </row>
    <row r="5" spans="1:11">
      <c r="A5" s="4" t="s">
        <v>155</v>
      </c>
      <c r="B5" s="4" t="s">
        <v>156</v>
      </c>
      <c r="C5" s="4">
        <v>12</v>
      </c>
      <c r="D5" s="4">
        <v>22</v>
      </c>
      <c r="E5" s="4">
        <v>11</v>
      </c>
      <c r="F5" s="4">
        <v>0</v>
      </c>
      <c r="G5" s="4">
        <v>0</v>
      </c>
      <c r="H5" s="4" t="s">
        <v>69</v>
      </c>
      <c r="I5" s="4" t="s">
        <v>36</v>
      </c>
      <c r="J5" s="4" t="s">
        <v>154</v>
      </c>
      <c r="K5" s="4" t="s">
        <v>36</v>
      </c>
    </row>
    <row r="6" spans="1:11">
      <c r="A6" s="4" t="s">
        <v>73</v>
      </c>
      <c r="B6" s="4" t="s">
        <v>157</v>
      </c>
      <c r="C6" s="4">
        <v>5</v>
      </c>
      <c r="D6" s="4">
        <v>10</v>
      </c>
      <c r="E6" s="4">
        <v>5</v>
      </c>
      <c r="F6" s="4">
        <v>0</v>
      </c>
      <c r="G6" s="4">
        <v>0</v>
      </c>
      <c r="H6" s="4" t="s">
        <v>69</v>
      </c>
      <c r="I6" s="4" t="s">
        <v>36</v>
      </c>
      <c r="J6" s="4" t="s">
        <v>154</v>
      </c>
      <c r="K6" s="4" t="s">
        <v>36</v>
      </c>
    </row>
    <row r="7" spans="1:11">
      <c r="A7" s="4" t="s">
        <v>158</v>
      </c>
      <c r="B7" s="4" t="s">
        <v>153</v>
      </c>
      <c r="C7" s="4">
        <v>6</v>
      </c>
      <c r="D7" s="4">
        <v>12</v>
      </c>
      <c r="E7" s="4">
        <v>6</v>
      </c>
      <c r="F7" s="4">
        <v>0</v>
      </c>
      <c r="G7" s="4">
        <v>0</v>
      </c>
      <c r="H7" s="4" t="s">
        <v>69</v>
      </c>
      <c r="I7" s="4" t="s">
        <v>36</v>
      </c>
      <c r="J7" s="4" t="s">
        <v>154</v>
      </c>
      <c r="K7" s="4" t="s">
        <v>36</v>
      </c>
    </row>
    <row r="8" spans="1:11">
      <c r="A8" s="4" t="s">
        <v>159</v>
      </c>
      <c r="B8" s="4" t="s">
        <v>157</v>
      </c>
      <c r="C8" s="4">
        <v>5</v>
      </c>
      <c r="D8" s="4">
        <v>10</v>
      </c>
      <c r="E8" s="4">
        <v>5</v>
      </c>
      <c r="F8" s="4">
        <v>0</v>
      </c>
      <c r="G8" s="4">
        <v>0</v>
      </c>
      <c r="H8" s="4" t="s">
        <v>69</v>
      </c>
      <c r="I8" s="4" t="s">
        <v>36</v>
      </c>
      <c r="J8" s="4" t="s">
        <v>154</v>
      </c>
      <c r="K8" s="4" t="s">
        <v>36</v>
      </c>
    </row>
    <row r="9" spans="1:11">
      <c r="A9" s="4" t="s">
        <v>160</v>
      </c>
      <c r="B9" s="4" t="s">
        <v>81</v>
      </c>
      <c r="C9" s="4">
        <v>6</v>
      </c>
      <c r="D9" s="4">
        <v>10</v>
      </c>
      <c r="E9" s="4">
        <v>5</v>
      </c>
      <c r="F9" s="4">
        <v>0</v>
      </c>
      <c r="G9" s="4">
        <v>0</v>
      </c>
      <c r="H9" s="4" t="s">
        <v>161</v>
      </c>
      <c r="I9" s="4" t="s">
        <v>36</v>
      </c>
      <c r="J9" s="4" t="s">
        <v>154</v>
      </c>
      <c r="K9" s="4" t="s">
        <v>36</v>
      </c>
    </row>
    <row r="10" spans="1:11">
      <c r="A10" s="4" t="s">
        <v>162</v>
      </c>
      <c r="B10" s="4" t="s">
        <v>163</v>
      </c>
      <c r="C10" s="4">
        <v>5</v>
      </c>
      <c r="D10" s="4">
        <v>8</v>
      </c>
      <c r="E10" s="4">
        <v>4</v>
      </c>
      <c r="F10" s="4">
        <v>0</v>
      </c>
      <c r="G10" s="4">
        <v>0</v>
      </c>
      <c r="H10" s="4" t="s">
        <v>164</v>
      </c>
      <c r="I10" s="4" t="s">
        <v>36</v>
      </c>
      <c r="J10" s="4" t="s">
        <v>154</v>
      </c>
      <c r="K10" s="4" t="s">
        <v>36</v>
      </c>
    </row>
    <row r="11" spans="1:11">
      <c r="A11" s="4" t="s">
        <v>165</v>
      </c>
      <c r="B11" s="4" t="s">
        <v>81</v>
      </c>
      <c r="C11" s="4">
        <v>6</v>
      </c>
      <c r="D11" s="4">
        <v>10</v>
      </c>
      <c r="E11" s="4">
        <v>5</v>
      </c>
      <c r="F11" s="4">
        <v>0</v>
      </c>
      <c r="G11" s="4">
        <v>0</v>
      </c>
      <c r="H11" s="4" t="s">
        <v>164</v>
      </c>
      <c r="I11" s="4" t="s">
        <v>36</v>
      </c>
      <c r="J11" s="4" t="s">
        <v>154</v>
      </c>
      <c r="K11" s="4" t="s">
        <v>36</v>
      </c>
    </row>
    <row r="12" spans="1:11">
      <c r="A12" s="4" t="s">
        <v>166</v>
      </c>
      <c r="B12" s="4" t="s">
        <v>163</v>
      </c>
      <c r="C12" s="4">
        <v>5</v>
      </c>
      <c r="D12" s="4">
        <v>8</v>
      </c>
      <c r="E12" s="4">
        <v>4</v>
      </c>
      <c r="F12" s="4">
        <v>0</v>
      </c>
      <c r="G12" s="4">
        <v>0</v>
      </c>
      <c r="H12" s="4" t="s">
        <v>164</v>
      </c>
      <c r="I12" s="4" t="s">
        <v>36</v>
      </c>
      <c r="J12" s="4" t="s">
        <v>154</v>
      </c>
      <c r="K12" s="4" t="s">
        <v>36</v>
      </c>
    </row>
    <row r="13" spans="1:11">
      <c r="A13" s="4" t="s">
        <v>167</v>
      </c>
      <c r="B13" s="4" t="s">
        <v>168</v>
      </c>
      <c r="C13" s="4">
        <v>2</v>
      </c>
      <c r="D13" s="4">
        <v>6</v>
      </c>
      <c r="E13" s="4">
        <v>1</v>
      </c>
      <c r="F13" s="4">
        <v>0</v>
      </c>
      <c r="G13" s="4">
        <v>0</v>
      </c>
      <c r="H13" s="4" t="s">
        <v>169</v>
      </c>
      <c r="I13" s="4" t="s">
        <v>36</v>
      </c>
      <c r="J13" s="4" t="s">
        <v>154</v>
      </c>
      <c r="K13" s="4" t="s">
        <v>36</v>
      </c>
    </row>
    <row r="14" spans="1:11">
      <c r="A14" s="4" t="s">
        <v>170</v>
      </c>
      <c r="B14" s="4" t="s">
        <v>171</v>
      </c>
      <c r="C14" s="4">
        <v>5</v>
      </c>
      <c r="D14" s="4">
        <v>4</v>
      </c>
      <c r="E14" s="4">
        <v>2</v>
      </c>
      <c r="F14" s="4">
        <v>0</v>
      </c>
      <c r="G14" s="4">
        <v>0</v>
      </c>
      <c r="H14" s="4" t="s">
        <v>172</v>
      </c>
      <c r="I14" s="4" t="s">
        <v>36</v>
      </c>
      <c r="J14" s="4" t="s">
        <v>154</v>
      </c>
      <c r="K14" s="4" t="s">
        <v>36</v>
      </c>
    </row>
    <row r="15" spans="1:11">
      <c r="A15" s="4" t="s">
        <v>173</v>
      </c>
      <c r="B15" s="4" t="s">
        <v>174</v>
      </c>
      <c r="C15" s="4">
        <v>3</v>
      </c>
      <c r="D15" s="4">
        <v>8</v>
      </c>
      <c r="E15" s="4">
        <v>3</v>
      </c>
      <c r="F15" s="4">
        <v>0</v>
      </c>
      <c r="G15" s="4">
        <v>0</v>
      </c>
      <c r="H15" s="4" t="s">
        <v>175</v>
      </c>
      <c r="I15" s="4" t="s">
        <v>36</v>
      </c>
      <c r="J15" s="4" t="s">
        <v>154</v>
      </c>
      <c r="K15" s="4" t="s">
        <v>36</v>
      </c>
    </row>
    <row r="16" spans="1:11">
      <c r="A16" s="4" t="s">
        <v>74</v>
      </c>
      <c r="B16" s="4" t="s">
        <v>176</v>
      </c>
      <c r="C16" s="4">
        <v>1</v>
      </c>
      <c r="D16" s="4">
        <v>1.57</v>
      </c>
      <c r="E16" s="4">
        <v>0.31</v>
      </c>
      <c r="F16" s="4">
        <v>0.28999999999999998</v>
      </c>
      <c r="G16" s="4">
        <v>7.0000000000000001E-3</v>
      </c>
      <c r="H16" s="4" t="s">
        <v>75</v>
      </c>
      <c r="I16" s="4" t="s">
        <v>36</v>
      </c>
      <c r="J16" s="4" t="s">
        <v>154</v>
      </c>
      <c r="K16" s="4" t="s">
        <v>36</v>
      </c>
    </row>
    <row r="17" spans="1:11">
      <c r="A17" s="4" t="s">
        <v>76</v>
      </c>
      <c r="B17" s="4" t="s">
        <v>177</v>
      </c>
      <c r="C17" s="4">
        <v>7.3</v>
      </c>
      <c r="D17" s="4">
        <v>13.9</v>
      </c>
      <c r="E17" s="4">
        <v>1.3</v>
      </c>
      <c r="F17" s="4">
        <v>0</v>
      </c>
      <c r="G17" s="4">
        <v>0</v>
      </c>
      <c r="H17" s="4" t="s">
        <v>77</v>
      </c>
      <c r="I17" s="4" t="s">
        <v>39</v>
      </c>
      <c r="J17" s="4" t="s">
        <v>154</v>
      </c>
      <c r="K17" s="4" t="s">
        <v>36</v>
      </c>
    </row>
    <row r="18" spans="1:11">
      <c r="A18" s="4" t="s">
        <v>178</v>
      </c>
      <c r="B18" s="4" t="s">
        <v>179</v>
      </c>
      <c r="C18" s="4">
        <v>1</v>
      </c>
      <c r="D18" s="4">
        <v>1.64</v>
      </c>
      <c r="E18" s="4">
        <v>0.39</v>
      </c>
      <c r="F18" s="4">
        <v>0.23</v>
      </c>
      <c r="G18" s="4">
        <v>3.5000000000000001E-3</v>
      </c>
      <c r="H18" s="4" t="s">
        <v>180</v>
      </c>
      <c r="I18" s="4" t="s">
        <v>39</v>
      </c>
      <c r="J18" s="4" t="s">
        <v>154</v>
      </c>
      <c r="K18" s="4" t="s">
        <v>36</v>
      </c>
    </row>
  </sheetData>
  <mergeCells count="1">
    <mergeCell ref="A1:K1"/>
  </mergeCells>
  <dataValidations count="1">
    <dataValidation type="list" sqref="I4:I200 K4:K200" xr:uid="{00000000-0002-0000-0300-000000000000}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"/>
  <sheetViews>
    <sheetView workbookViewId="0"/>
  </sheetViews>
  <sheetFormatPr defaultRowHeight="14.25"/>
  <cols>
    <col min="1" max="14" width="24" style="9" customWidth="1"/>
  </cols>
  <sheetData>
    <row r="1" spans="1:14" ht="18">
      <c r="A1" s="1" t="s">
        <v>181</v>
      </c>
    </row>
    <row r="3" spans="1:14" ht="30">
      <c r="A3" s="5" t="s">
        <v>182</v>
      </c>
      <c r="B3" s="5" t="s">
        <v>183</v>
      </c>
      <c r="C3" s="5" t="s">
        <v>184</v>
      </c>
      <c r="D3" s="5" t="s">
        <v>185</v>
      </c>
      <c r="E3" s="5" t="s">
        <v>186</v>
      </c>
      <c r="F3" s="5" t="s">
        <v>187</v>
      </c>
      <c r="G3" s="5" t="s">
        <v>188</v>
      </c>
      <c r="H3" s="5" t="s">
        <v>189</v>
      </c>
      <c r="I3" s="5" t="s">
        <v>190</v>
      </c>
      <c r="J3" s="5" t="s">
        <v>191</v>
      </c>
      <c r="K3" s="5" t="s">
        <v>192</v>
      </c>
      <c r="L3" s="5" t="s">
        <v>193</v>
      </c>
      <c r="M3" s="5" t="s">
        <v>66</v>
      </c>
      <c r="N3" s="5" t="s">
        <v>67</v>
      </c>
    </row>
    <row r="4" spans="1:14" ht="28.5">
      <c r="A4" s="4" t="s">
        <v>194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 t="s">
        <v>195</v>
      </c>
      <c r="N4" s="4" t="s">
        <v>36</v>
      </c>
    </row>
    <row r="5" spans="1:14">
      <c r="A5" s="4" t="s">
        <v>196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39</v>
      </c>
    </row>
    <row r="6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30">
      <c r="A8" s="3" t="s">
        <v>197</v>
      </c>
      <c r="K8" s="4"/>
      <c r="L8" s="4"/>
      <c r="M8" s="4"/>
      <c r="N8" s="4"/>
    </row>
    <row r="9" spans="1:14" ht="30">
      <c r="A9" s="16" t="s">
        <v>182</v>
      </c>
      <c r="B9" s="16" t="s">
        <v>198</v>
      </c>
      <c r="C9" s="16" t="s">
        <v>199</v>
      </c>
      <c r="D9" s="16" t="s">
        <v>200</v>
      </c>
      <c r="E9" s="16" t="s">
        <v>201</v>
      </c>
      <c r="F9" s="16" t="s">
        <v>202</v>
      </c>
      <c r="G9" s="16" t="s">
        <v>203</v>
      </c>
      <c r="H9" s="16" t="s">
        <v>204</v>
      </c>
      <c r="I9" s="16" t="s">
        <v>205</v>
      </c>
      <c r="J9" s="16" t="s">
        <v>206</v>
      </c>
      <c r="K9" s="18" t="s">
        <v>207</v>
      </c>
      <c r="L9" s="18" t="s">
        <v>208</v>
      </c>
      <c r="M9" s="18" t="s">
        <v>209</v>
      </c>
      <c r="N9" s="18" t="s">
        <v>210</v>
      </c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</sheetData>
  <dataValidations count="1">
    <dataValidation type="list" sqref="N4:N200" xr:uid="{00000000-0002-0000-0400-000000000000}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25"/>
  <cols>
    <col min="1" max="1" width="22" style="9" customWidth="1"/>
    <col min="2" max="2" width="60" style="9" customWidth="1"/>
    <col min="3" max="4" width="50" style="9" customWidth="1"/>
  </cols>
  <sheetData>
    <row r="1" spans="1:4" ht="18">
      <c r="A1" s="1" t="s">
        <v>211</v>
      </c>
    </row>
    <row r="3" spans="1:4" ht="15">
      <c r="A3" s="5" t="s">
        <v>212</v>
      </c>
      <c r="B3" s="5" t="s">
        <v>213</v>
      </c>
      <c r="C3" s="5" t="s">
        <v>214</v>
      </c>
      <c r="D3" s="5" t="s">
        <v>215</v>
      </c>
    </row>
    <row r="4" spans="1:4" ht="28.5">
      <c r="A4" s="4" t="s">
        <v>216</v>
      </c>
      <c r="B4" s="4" t="s">
        <v>217</v>
      </c>
      <c r="C4" s="4" t="s">
        <v>218</v>
      </c>
      <c r="D4" s="4" t="s">
        <v>219</v>
      </c>
    </row>
    <row r="5" spans="1:4" ht="28.5">
      <c r="A5" s="4" t="s">
        <v>220</v>
      </c>
      <c r="B5" s="4" t="s">
        <v>221</v>
      </c>
      <c r="C5" s="4" t="s">
        <v>222</v>
      </c>
      <c r="D5" s="4" t="s">
        <v>223</v>
      </c>
    </row>
    <row r="6" spans="1:4" ht="42.75">
      <c r="A6" s="4" t="s">
        <v>224</v>
      </c>
      <c r="B6" s="4" t="s">
        <v>7</v>
      </c>
      <c r="C6" s="4" t="s">
        <v>225</v>
      </c>
      <c r="D6" s="4" t="s">
        <v>226</v>
      </c>
    </row>
    <row r="7" spans="1:4">
      <c r="A7" s="4" t="s">
        <v>11</v>
      </c>
      <c r="B7" s="4" t="s">
        <v>227</v>
      </c>
      <c r="C7" s="4" t="s">
        <v>228</v>
      </c>
      <c r="D7" s="4" t="s">
        <v>229</v>
      </c>
    </row>
    <row r="8" spans="1:4" ht="57">
      <c r="A8" s="4" t="s">
        <v>13</v>
      </c>
      <c r="B8" s="4" t="s">
        <v>136</v>
      </c>
      <c r="C8" s="4" t="s">
        <v>230</v>
      </c>
      <c r="D8" s="4" t="s">
        <v>231</v>
      </c>
    </row>
    <row r="9" spans="1:4" ht="42.75">
      <c r="A9" s="4" t="s">
        <v>232</v>
      </c>
      <c r="B9" s="4" t="s">
        <v>233</v>
      </c>
      <c r="C9" s="4" t="s">
        <v>234</v>
      </c>
      <c r="D9" s="4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workbookViewId="0"/>
  </sheetViews>
  <sheetFormatPr defaultRowHeight="14.25"/>
  <cols>
    <col min="1" max="1" width="14" style="9" customWidth="1"/>
    <col min="2" max="2" width="28" style="9" customWidth="1"/>
    <col min="3" max="3" width="30" style="9" customWidth="1"/>
    <col min="4" max="4" width="16" style="9" customWidth="1"/>
    <col min="5" max="6" width="18" style="9" customWidth="1"/>
    <col min="7" max="7" width="22" style="9" customWidth="1"/>
    <col min="8" max="8" width="24" style="9" customWidth="1"/>
    <col min="9" max="9" width="22" style="9" customWidth="1"/>
    <col min="10" max="10" width="20" style="9" customWidth="1"/>
    <col min="11" max="11" width="18" style="9" customWidth="1"/>
    <col min="12" max="12" width="42" style="9" customWidth="1"/>
    <col min="13" max="13" width="22" style="9" customWidth="1"/>
    <col min="14" max="14" width="18" style="9" customWidth="1"/>
  </cols>
  <sheetData>
    <row r="1" spans="1:14" ht="144">
      <c r="A1" s="19" t="s">
        <v>236</v>
      </c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72">
      <c r="A3" s="12" t="s">
        <v>1</v>
      </c>
      <c r="B3" s="4" t="s">
        <v>237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00.5">
      <c r="A4" s="12" t="s">
        <v>238</v>
      </c>
      <c r="B4" s="4" t="s">
        <v>239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14.75">
      <c r="A5" s="12" t="s">
        <v>240</v>
      </c>
      <c r="B5" s="4" t="s">
        <v>241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9.25">
      <c r="A6" s="12" t="s">
        <v>242</v>
      </c>
      <c r="B6" s="4" t="s">
        <v>243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90">
      <c r="A8" s="20" t="s">
        <v>244</v>
      </c>
    </row>
    <row r="9" spans="1:14" ht="30">
      <c r="A9" s="13" t="s">
        <v>245</v>
      </c>
      <c r="B9" s="13" t="s">
        <v>246</v>
      </c>
      <c r="C9" s="13" t="s">
        <v>247</v>
      </c>
      <c r="D9" s="13" t="s">
        <v>248</v>
      </c>
      <c r="E9" s="13" t="s">
        <v>33</v>
      </c>
      <c r="F9" s="13" t="s">
        <v>249</v>
      </c>
      <c r="G9" s="13" t="s">
        <v>250</v>
      </c>
      <c r="H9" s="13" t="s">
        <v>251</v>
      </c>
      <c r="I9" s="13" t="s">
        <v>252</v>
      </c>
      <c r="J9" s="13" t="s">
        <v>253</v>
      </c>
      <c r="K9" s="13" t="s">
        <v>254</v>
      </c>
      <c r="L9" s="13" t="s">
        <v>255</v>
      </c>
      <c r="M9" s="13" t="s">
        <v>256</v>
      </c>
      <c r="N9" s="13" t="s">
        <v>257</v>
      </c>
    </row>
    <row r="10" spans="1:14" ht="85.5">
      <c r="A10" s="10" t="s">
        <v>258</v>
      </c>
      <c r="B10" s="10" t="s">
        <v>259</v>
      </c>
      <c r="C10" s="10" t="s">
        <v>260</v>
      </c>
      <c r="D10" s="10" t="s">
        <v>81</v>
      </c>
      <c r="E10" s="10">
        <v>1</v>
      </c>
      <c r="F10" s="10">
        <v>3</v>
      </c>
      <c r="G10" s="10">
        <v>3</v>
      </c>
      <c r="H10" s="10">
        <v>3</v>
      </c>
      <c r="I10" s="10">
        <v>3</v>
      </c>
      <c r="J10" s="10">
        <v>415</v>
      </c>
      <c r="K10" s="10">
        <v>414.71</v>
      </c>
      <c r="L10" s="10">
        <v>-6.9879518072294089E-2</v>
      </c>
      <c r="M10" s="10" t="s">
        <v>261</v>
      </c>
      <c r="N10" s="10" t="s">
        <v>262</v>
      </c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05">
      <c r="A12" s="20" t="s">
        <v>263</v>
      </c>
    </row>
    <row r="13" spans="1:14" ht="30">
      <c r="A13" s="13" t="s">
        <v>245</v>
      </c>
      <c r="B13" s="13" t="s">
        <v>246</v>
      </c>
      <c r="C13" s="13" t="s">
        <v>247</v>
      </c>
      <c r="D13" s="13" t="s">
        <v>264</v>
      </c>
      <c r="E13" s="13" t="s">
        <v>265</v>
      </c>
      <c r="F13" s="13" t="s">
        <v>266</v>
      </c>
      <c r="G13" s="13" t="s">
        <v>267</v>
      </c>
      <c r="H13" s="13" t="s">
        <v>268</v>
      </c>
      <c r="I13" s="13" t="s">
        <v>269</v>
      </c>
      <c r="J13" s="13" t="s">
        <v>270</v>
      </c>
      <c r="K13" s="13" t="s">
        <v>256</v>
      </c>
      <c r="L13" s="13" t="s">
        <v>257</v>
      </c>
      <c r="M13" s="13" t="s">
        <v>271</v>
      </c>
      <c r="N13" s="13" t="s">
        <v>272</v>
      </c>
    </row>
    <row r="14" spans="1:14" ht="28.5">
      <c r="A14" s="10" t="s">
        <v>273</v>
      </c>
      <c r="B14" s="10" t="s">
        <v>274</v>
      </c>
      <c r="C14" s="10" t="s">
        <v>275</v>
      </c>
      <c r="D14" s="10" t="s">
        <v>276</v>
      </c>
      <c r="E14" s="10">
        <v>490.11</v>
      </c>
      <c r="F14" s="10">
        <v>377.41</v>
      </c>
      <c r="G14" s="10">
        <v>77.069999999999993</v>
      </c>
      <c r="H14" s="10">
        <v>77.005162106465903</v>
      </c>
      <c r="I14" s="10">
        <v>-6.4837893534090085E-2</v>
      </c>
      <c r="J14" s="10">
        <v>-8.4128576014130138E-2</v>
      </c>
      <c r="K14" s="10" t="s">
        <v>261</v>
      </c>
      <c r="L14" s="10" t="s">
        <v>277</v>
      </c>
      <c r="M14" s="10" t="s">
        <v>278</v>
      </c>
      <c r="N14" s="10" t="s">
        <v>279</v>
      </c>
    </row>
    <row r="15" spans="1:14" ht="28.5">
      <c r="A15" s="10" t="s">
        <v>280</v>
      </c>
      <c r="B15" s="10" t="s">
        <v>274</v>
      </c>
      <c r="C15" s="10" t="s">
        <v>275</v>
      </c>
      <c r="D15" s="10" t="s">
        <v>281</v>
      </c>
      <c r="E15" s="10">
        <v>490.11</v>
      </c>
      <c r="F15" s="10">
        <v>409.79</v>
      </c>
      <c r="G15" s="10">
        <v>83.75</v>
      </c>
      <c r="H15" s="10">
        <v>83.611842239497264</v>
      </c>
      <c r="I15" s="10">
        <v>-0.13815776050273601</v>
      </c>
      <c r="J15" s="10">
        <v>-0.1649644901525206</v>
      </c>
      <c r="K15" s="10" t="s">
        <v>261</v>
      </c>
      <c r="L15" s="10" t="s">
        <v>277</v>
      </c>
      <c r="M15" s="10" t="s">
        <v>278</v>
      </c>
      <c r="N15" s="10" t="s">
        <v>279</v>
      </c>
    </row>
    <row r="16" spans="1:14" ht="28.5">
      <c r="A16" s="10" t="s">
        <v>282</v>
      </c>
      <c r="B16" s="10" t="s">
        <v>274</v>
      </c>
      <c r="C16" s="10" t="s">
        <v>283</v>
      </c>
      <c r="D16" s="10" t="s">
        <v>276</v>
      </c>
      <c r="E16" s="10">
        <v>428.4</v>
      </c>
      <c r="F16" s="10">
        <v>335.02</v>
      </c>
      <c r="G16" s="10">
        <v>78.19</v>
      </c>
      <c r="H16" s="10">
        <v>78.202614379084963</v>
      </c>
      <c r="I16" s="10">
        <v>1.261437908496532E-2</v>
      </c>
      <c r="J16" s="10">
        <v>1.6132982587243029E-2</v>
      </c>
      <c r="K16" s="10" t="s">
        <v>261</v>
      </c>
      <c r="L16" s="10" t="s">
        <v>277</v>
      </c>
      <c r="M16" s="10" t="s">
        <v>278</v>
      </c>
      <c r="N16" s="10" t="s">
        <v>279</v>
      </c>
    </row>
    <row r="17" spans="1:14" ht="28.5">
      <c r="A17" s="10" t="s">
        <v>284</v>
      </c>
      <c r="B17" s="10" t="s">
        <v>274</v>
      </c>
      <c r="C17" s="10" t="s">
        <v>283</v>
      </c>
      <c r="D17" s="10" t="s">
        <v>281</v>
      </c>
      <c r="E17" s="10">
        <v>428.4</v>
      </c>
      <c r="F17" s="10">
        <v>105.01</v>
      </c>
      <c r="G17" s="10">
        <v>24.51</v>
      </c>
      <c r="H17" s="10">
        <v>24.51213818860878</v>
      </c>
      <c r="I17" s="10">
        <v>2.13818860877879E-3</v>
      </c>
      <c r="J17" s="10">
        <v>8.7237397338995933E-3</v>
      </c>
      <c r="K17" s="10" t="s">
        <v>261</v>
      </c>
      <c r="L17" s="10" t="s">
        <v>277</v>
      </c>
      <c r="M17" s="10" t="s">
        <v>278</v>
      </c>
      <c r="N17" s="10" t="s">
        <v>279</v>
      </c>
    </row>
    <row r="18" spans="1:14" ht="28.5">
      <c r="A18" s="10" t="s">
        <v>285</v>
      </c>
      <c r="B18" s="10" t="s">
        <v>274</v>
      </c>
      <c r="C18" s="10" t="s">
        <v>286</v>
      </c>
      <c r="D18" s="10" t="s">
        <v>276</v>
      </c>
      <c r="E18" s="10">
        <v>484.63</v>
      </c>
      <c r="F18" s="10">
        <v>460.62</v>
      </c>
      <c r="G18" s="10">
        <v>95.05</v>
      </c>
      <c r="H18" s="10">
        <v>95.045704970802475</v>
      </c>
      <c r="I18" s="10">
        <v>-4.2950291975216706E-3</v>
      </c>
      <c r="J18" s="10">
        <v>-4.5187050999701966E-3</v>
      </c>
      <c r="K18" s="10" t="s">
        <v>261</v>
      </c>
      <c r="L18" s="10" t="s">
        <v>277</v>
      </c>
      <c r="M18" s="10" t="s">
        <v>278</v>
      </c>
      <c r="N18" s="10" t="s">
        <v>279</v>
      </c>
    </row>
    <row r="19" spans="1:14" ht="28.5">
      <c r="A19" s="10" t="s">
        <v>287</v>
      </c>
      <c r="B19" s="10" t="s">
        <v>274</v>
      </c>
      <c r="C19" s="10" t="s">
        <v>286</v>
      </c>
      <c r="D19" s="10" t="s">
        <v>281</v>
      </c>
      <c r="E19" s="10">
        <v>484.63</v>
      </c>
      <c r="F19" s="10">
        <v>463.53</v>
      </c>
      <c r="G19" s="10">
        <v>95.65</v>
      </c>
      <c r="H19" s="10">
        <v>95.646163052225404</v>
      </c>
      <c r="I19" s="10">
        <v>-3.83694777460164E-3</v>
      </c>
      <c r="J19" s="10">
        <v>-4.0114456608485519E-3</v>
      </c>
      <c r="K19" s="10" t="s">
        <v>261</v>
      </c>
      <c r="L19" s="10" t="s">
        <v>277</v>
      </c>
      <c r="M19" s="10" t="s">
        <v>278</v>
      </c>
      <c r="N19" s="10" t="s">
        <v>279</v>
      </c>
    </row>
    <row r="20" spans="1:14" ht="28.5">
      <c r="A20" s="10" t="s">
        <v>288</v>
      </c>
      <c r="B20" s="10" t="s">
        <v>274</v>
      </c>
      <c r="C20" s="10" t="s">
        <v>289</v>
      </c>
      <c r="D20" s="10" t="s">
        <v>276</v>
      </c>
      <c r="E20" s="10">
        <v>413.02</v>
      </c>
      <c r="F20" s="10">
        <v>271.08999999999997</v>
      </c>
      <c r="G20" s="10">
        <v>65.64</v>
      </c>
      <c r="H20" s="10">
        <v>65.636046680548148</v>
      </c>
      <c r="I20" s="10">
        <v>-3.9533194518526216E-3</v>
      </c>
      <c r="J20" s="10">
        <v>-6.0227292075755966E-3</v>
      </c>
      <c r="K20" s="10" t="s">
        <v>261</v>
      </c>
      <c r="L20" s="10" t="s">
        <v>277</v>
      </c>
      <c r="M20" s="10" t="s">
        <v>278</v>
      </c>
      <c r="N20" s="10" t="s">
        <v>279</v>
      </c>
    </row>
    <row r="21" spans="1:14" ht="28.5">
      <c r="A21" s="10" t="s">
        <v>290</v>
      </c>
      <c r="B21" s="10" t="s">
        <v>274</v>
      </c>
      <c r="C21" s="10" t="s">
        <v>289</v>
      </c>
      <c r="D21" s="10" t="s">
        <v>281</v>
      </c>
      <c r="E21" s="10">
        <v>413.02</v>
      </c>
      <c r="F21" s="10">
        <v>250.25</v>
      </c>
      <c r="G21" s="10">
        <v>60.59</v>
      </c>
      <c r="H21" s="10">
        <v>60.590286184688388</v>
      </c>
      <c r="I21" s="10">
        <v>2.8618468838459421E-4</v>
      </c>
      <c r="J21" s="10">
        <v>4.72329903258944E-4</v>
      </c>
      <c r="K21" s="10" t="s">
        <v>261</v>
      </c>
      <c r="L21" s="10" t="s">
        <v>277</v>
      </c>
      <c r="M21" s="10" t="s">
        <v>278</v>
      </c>
      <c r="N21" s="10" t="s">
        <v>279</v>
      </c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60">
      <c r="A24" s="20" t="s">
        <v>291</v>
      </c>
    </row>
    <row r="25" spans="1:14" ht="30">
      <c r="A25" s="13" t="s">
        <v>292</v>
      </c>
      <c r="B25" s="13" t="s">
        <v>246</v>
      </c>
      <c r="C25" s="13" t="s">
        <v>293</v>
      </c>
      <c r="D25" s="13" t="s">
        <v>294</v>
      </c>
      <c r="E25" s="13" t="s">
        <v>295</v>
      </c>
      <c r="F25" s="4"/>
      <c r="G25" s="4"/>
      <c r="H25" s="4"/>
      <c r="I25" s="4"/>
      <c r="J25" s="4"/>
      <c r="K25" s="4"/>
      <c r="L25" s="4"/>
      <c r="M25" s="4"/>
      <c r="N25" s="4"/>
    </row>
    <row r="26" spans="1:14" ht="85.5">
      <c r="A26" s="11" t="s">
        <v>296</v>
      </c>
      <c r="B26" s="11" t="s">
        <v>297</v>
      </c>
      <c r="C26" s="11" t="s">
        <v>298</v>
      </c>
      <c r="D26" s="11" t="s">
        <v>299</v>
      </c>
      <c r="E26" s="11" t="s">
        <v>300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 ht="85.5">
      <c r="A27" s="11" t="s">
        <v>301</v>
      </c>
      <c r="B27" s="11" t="s">
        <v>302</v>
      </c>
      <c r="C27" s="11" t="s">
        <v>303</v>
      </c>
      <c r="D27" s="11" t="s">
        <v>304</v>
      </c>
      <c r="E27" s="11" t="s">
        <v>305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 ht="71.25">
      <c r="A28" s="11" t="s">
        <v>306</v>
      </c>
      <c r="B28" s="11" t="s">
        <v>307</v>
      </c>
      <c r="C28" s="11" t="s">
        <v>308</v>
      </c>
      <c r="D28" s="11" t="s">
        <v>309</v>
      </c>
      <c r="E28" s="11" t="s">
        <v>310</v>
      </c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45">
      <c r="A31" s="20" t="s">
        <v>311</v>
      </c>
    </row>
    <row r="32" spans="1:14" ht="15">
      <c r="A32" s="13" t="s">
        <v>312</v>
      </c>
      <c r="B32" s="13" t="s">
        <v>313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57">
      <c r="A33" s="4" t="s">
        <v>314</v>
      </c>
      <c r="B33" s="10" t="s">
        <v>261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57">
      <c r="A34" s="4" t="s">
        <v>315</v>
      </c>
      <c r="B34" s="10" t="s">
        <v>261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42.75">
      <c r="A35" s="4" t="s">
        <v>316</v>
      </c>
      <c r="B35" s="10" t="s">
        <v>261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57">
      <c r="A36" s="4" t="s">
        <v>317</v>
      </c>
      <c r="B36" s="10" t="s">
        <v>261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57">
      <c r="A37" s="4" t="s">
        <v>318</v>
      </c>
      <c r="B37" s="10" t="s">
        <v>261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00_INFORMATIVO</vt:lpstr>
      <vt:lpstr>01_INPUTS</vt:lpstr>
      <vt:lpstr>02_OUTPUTS</vt:lpstr>
      <vt:lpstr>03_COMPONENT_DATABASE</vt:lpstr>
      <vt:lpstr>04_EXPERIMENTAL_VALIDATION</vt:lpstr>
      <vt:lpstr>05_METHOD_NOTES</vt:lpstr>
      <vt:lpstr>06_VALIDATION_BENCHMARKS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Wanick Galvao</cp:lastModifiedBy>
  <dcterms:created xsi:type="dcterms:W3CDTF">2026-08-06T20:40:26Z</dcterms:created>
  <dcterms:modified xsi:type="dcterms:W3CDTF">2026-08-06T20:44:34Z</dcterms:modified>
</cp:coreProperties>
</file>