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e7d3d2492b4d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INFORMATIVO" sheetId="1" r:id="Rb652075267e24bf0"/>
    <x:sheet xmlns:r="http://schemas.openxmlformats.org/officeDocument/2006/relationships" name="01_INPUTS" sheetId="2" r:id="Rdac7789f4db54615"/>
    <x:sheet xmlns:r="http://schemas.openxmlformats.org/officeDocument/2006/relationships" name="02_OUTPUTS" sheetId="3" r:id="Rfb972170ad3a441a"/>
    <x:sheet xmlns:r="http://schemas.openxmlformats.org/officeDocument/2006/relationships" name="03_COMPONENT_DATABASE" sheetId="4" r:id="Rd215546c5fb04e11"/>
    <x:sheet xmlns:r="http://schemas.openxmlformats.org/officeDocument/2006/relationships" name="04_EXPERIMENTAL_VALIDATION" sheetId="5" r:id="R4b7803908c7f4195"/>
    <x:sheet xmlns:r="http://schemas.openxmlformats.org/officeDocument/2006/relationships" name="05_METHOD_NOTES" sheetId="6" r:id="R6cc4427cf350437c"/>
    <x:sheet xmlns:r="http://schemas.openxmlformats.org/officeDocument/2006/relationships" name="06_VALIDATION_BENCHMARKS" sheetId="7" r:id="R72249160788049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BDD7EE"/>
      </x:patternFill>
    </x:fill>
    <x:fill>
      <x:patternFill patternType="solid">
        <x:fgColor rgb="FFF2CC"/>
      </x:patternFill>
    </x:fill>
    <x:fill>
      <x:patternFill patternType="solid">
        <x:fgColor rgb="E2F0D9"/>
      </x:patternFill>
    </x:fill>
    <x:fill>
      <x:patternFill patternType="solid">
        <x:fgColor rgb="1F4E78"/>
      </x:patternFill>
    </x:fill>
    <x:fill>
      <x:patternFill patternType="solid">
        <x:fgColor rgb="D9EAF7"/>
      </x:patternFill>
    </x:fill>
    <x:fill>
      <x:patternFill patternType="solid">
        <x:fgColor rgb="BDD7EE"/>
      </x:patternFill>
    </x:fill>
    <x:fill>
      <x:patternFill patternType="solid">
        <x:fgColor rgb="E2F0D9"/>
      </x:patternFill>
    </x:fill>
    <x:fill>
      <x:patternFill patternType="solid">
        <x:fgColor rgb="FFF2CC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2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4" fillId="8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f1daf9a4804cac" /><Relationship Type="http://schemas.openxmlformats.org/officeDocument/2006/relationships/theme" Target="/xl/theme/theme1.xml" Id="R6d4105381adc46e2" /><Relationship Type="http://schemas.openxmlformats.org/officeDocument/2006/relationships/sharedStrings" Target="/xl/sharedStrings.xml" Id="R314c30be370d4412" /><Relationship Type="http://schemas.openxmlformats.org/officeDocument/2006/relationships/worksheet" Target="/xl/worksheets/sheet1.xml" Id="Rb652075267e24bf0" /><Relationship Type="http://schemas.openxmlformats.org/officeDocument/2006/relationships/worksheet" Target="/xl/worksheets/sheet2.xml" Id="Rdac7789f4db54615" /><Relationship Type="http://schemas.openxmlformats.org/officeDocument/2006/relationships/worksheet" Target="/xl/worksheets/sheet3.xml" Id="Rfb972170ad3a441a" /><Relationship Type="http://schemas.openxmlformats.org/officeDocument/2006/relationships/worksheet" Target="/xl/worksheets/sheet4.xml" Id="Rd215546c5fb04e11" /><Relationship Type="http://schemas.openxmlformats.org/officeDocument/2006/relationships/worksheet" Target="/xl/worksheets/sheet5.xml" Id="R4b7803908c7f4195" /><Relationship Type="http://schemas.openxmlformats.org/officeDocument/2006/relationships/worksheet" Target="/xl/worksheets/sheet6.xml" Id="R6cc4427cf350437c" /><Relationship Type="http://schemas.openxmlformats.org/officeDocument/2006/relationships/worksheet" Target="/xl/worksheets/sheet7.xml" Id="R72249160788049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12" t="str">
        <x:v>BioPot-Gas v0.5 | Planilha de Entrada, Saída e Validação</x:v>
      </x:c>
      <x:c r="B1" s="12" t="str"/>
      <x:c r="C1" s="12" t="str"/>
      <x:c r="D1" s="12" t="str"/>
      <x:c r="E1" s="12" t="str"/>
      <x:c r="F1" s="12" t="str"/>
      <x:c r="G1" s="12" t="str"/>
      <x:c r="H1" s="12" t="str"/>
    </x:row>
    <x:row r="3">
      <x:c r="A3" s="18" t="str">
        <x:v>Objetivo</x:v>
      </x:c>
      <x:c r="B3" s="20" t="str">
        <x:v>Organizar os dados de entrada, resultados teóricos, conversão volumétrica normalizada, estimativa energética e validação experimental do software BioPot-Gas.</x:v>
      </x:c>
    </x:row>
    <x:row r="4">
      <x:c r="A4" s="18" t="str">
        <x:v>Núcleo do software</x:v>
      </x:c>
      <x:c r="B4" s="20" t="str">
        <x:v>O BioPot-Gas estima o potencial teórico de biogás e biometano a partir da composição de substratos orgânicos, com base em balanço elementar e fechamento estequiométrico.</x:v>
      </x:c>
    </x:row>
    <x:row r="5">
      <x:c r="A5" s="18" t="str">
        <x:v>Abas principais</x:v>
      </x:c>
      <x:c r="B5" s="20" t="str">
        <x:v>01_INPUTS recebe parâmetros globais e componentes. 02_OUTPUTS recebe resultados automáticos. 03_COMPONENT_DATABASE contém componentes padronizados. 04_EXPERIMENTAL_VALIDATION compara dados experimentais e teóricos. 05_METHOD_NOTES registra hipóteses e limites.</x:v>
      </x:c>
    </x:row>
    <x:row r="6">
      <x:c r="A6" s="18" t="str">
        <x:v>Unidade molar</x:v>
      </x:c>
      <x:c r="B6" s="20" t="str">
        <x:v>Use uma base molar consistente para todos os componentes, por exemplo mol, mol/h ou kmol/h. O software preserva essa base nas saídas molares.</x:v>
      </x:c>
    </x:row>
    <x:row r="7">
      <x:c r="A7" s="18" t="str">
        <x:v>Condição normal</x:v>
      </x:c>
      <x:c r="B7" s="20" t="str">
        <x:v>A conversão volumétrica usa temperatura e pressão de normalização informadas em 01_INPUTS. O valor padrão corresponde a 0 °C e 101,325 kPa.</x:v>
      </x:c>
    </x:row>
    <x:row r="8">
      <x:c r="A8" s="18" t="str">
        <x:v>Energia</x:v>
      </x:c>
      <x:c r="B8" s="20" t="str">
        <x:v>A energia é calculada a partir do volume normalizado de CH4 e do poder calorífico inferior informado pelo usuário.</x:v>
      </x:c>
    </x:row>
    <x:row r="9">
      <x:c r="A9" s="18" t="str">
        <x:v>Validação experimental</x:v>
      </x:c>
      <x:c r="B9" s="20" t="str">
        <x:v>A aba 04_EXPERIMENTAL_VALIDATION permite inserir dados experimentais de CH4 e biogás e calcular erro absoluto, erro relativo e eficiência de conversão.</x:v>
      </x:c>
    </x:row>
    <x:row r="10">
      <x:c r="A10" s="18" t="str">
        <x:v>Atenção</x:v>
      </x:c>
      <x:c r="B10" s="20" t="str">
        <x:v>A comparação experimental só é válida quando a base experimental e a base teórica forem compatíveis.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2" hidden="0" customWidth="1"/>
    <x:col min="4" max="4" width="12" hidden="0" customWidth="1"/>
    <x:col min="5" max="5" width="24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4" hidden="0" customWidth="1"/>
    <x:col min="12" max="12" width="20" hidden="0" customWidth="1"/>
    <x:col min="13" max="13" width="32" hidden="0" customWidth="1"/>
    <x:col min="14" max="14" width="12" hidden="0" customWidth="1"/>
  </x:cols>
  <x:sheetData>
    <x:row r="1">
      <x:c r="A1" s="12" t="str">
        <x:v>BioPot-Gas v0.5 | Dados de Entrada</x:v>
      </x:c>
      <x:c r="B1" s="12" t="str"/>
      <x:c r="C1" s="12" t="str"/>
      <x:c r="D1" s="12" t="str"/>
      <x:c r="E1" s="12" t="str"/>
      <x:c r="F1" s="12" t="str"/>
      <x:c r="G1" s="12" t="str"/>
      <x:c r="H1" s="12" t="str"/>
      <x:c r="I1" s="12" t="str"/>
      <x:c r="J1" s="12" t="str"/>
      <x:c r="K1" s="12" t="str"/>
      <x:c r="L1" s="12" t="str"/>
      <x:c r="M1" s="12" t="str"/>
      <x:c r="N1" s="12" t="str"/>
    </x:row>
    <x:row r="3">
      <x:c r="A3" s="18" t="str">
        <x:v>Parâmetros globais</x:v>
      </x:c>
      <x:c r="B3" s="18" t="str"/>
      <x:c r="C3" s="18" t="str"/>
      <x:c r="D3" s="18" t="str"/>
    </x:row>
    <x:row r="4">
      <x:c r="A4" s="30" t="str">
        <x:v>Project_name</x:v>
      </x:c>
      <x:c r="B4" s="30" t="str">
        <x:v>Example BioPot-Gas v0.5</x:v>
      </x:c>
      <x:c r="C4" s="30" t="str">
        <x:v>Nome do estudo ou cenário</x:v>
      </x:c>
      <x:c r="D4" s="30" t="str">
        <x:v>required</x:v>
      </x:c>
    </x:row>
    <x:row r="5">
      <x:c r="A5" s="32" t="str">
        <x:v>Analyst</x:v>
      </x:c>
      <x:c r="B5" s="34" t="str">
        <x:v>Edgar Amaral Silveira</x:v>
      </x:c>
      <x:c r="C5" s="20" t="str">
        <x:v>Responsável pelo preenchimento</x:v>
      </x:c>
      <x:c r="D5" t="str">
        <x:v>optional</x:v>
      </x:c>
    </x:row>
    <x:row r="6">
      <x:c r="A6" s="32" t="str">
        <x:v>Date</x:v>
      </x:c>
      <x:c r="B6" s="34" t="str">
        <x:v>2026-06-05</x:v>
      </x:c>
      <x:c r="C6" s="20" t="str">
        <x:v>Data de preparação da entrada</x:v>
      </x:c>
      <x:c r="D6" t="str">
        <x:v>optional</x:v>
      </x:c>
    </x:row>
    <x:row r="7">
      <x:c r="A7" s="32" t="str">
        <x:v>Basis_molar_unit</x:v>
      </x:c>
      <x:c r="B7" s="34" t="str">
        <x:v>kmol/h</x:v>
      </x:c>
      <x:c r="C7" s="20" t="str">
        <x:v>Unidade da vazão molar usada na tabela</x:v>
      </x:c>
      <x:c r="D7" t="str">
        <x:v>required</x:v>
      </x:c>
    </x:row>
    <x:row r="8">
      <x:c r="A8" s="32" t="str">
        <x:v>carbon_conversion</x:v>
      </x:c>
      <x:c r="B8" s="34" t="n">
        <x:v>0.95</x:v>
      </x:c>
      <x:c r="C8" s="20" t="str">
        <x:v>Fração do carbono direcionada à formação de biogás</x:v>
      </x:c>
      <x:c r="D8" t="str">
        <x:v>required</x:v>
      </x:c>
    </x:row>
    <x:row r="9">
      <x:c r="A9" s="32" t="str">
        <x:v>validate_non_negative</x:v>
      </x:c>
      <x:c r="B9" s="34" t="str">
        <x:v>TRUE</x:v>
      </x:c>
      <x:c r="C9" s="20" t="str">
        <x:v>Bloqueia resultados fisicamente inconsistentes</x:v>
      </x:c>
      <x:c r="D9" t="str">
        <x:v>required</x:v>
      </x:c>
    </x:row>
    <x:row r="10">
      <x:c r="A10" s="32" t="str">
        <x:v>include_non_degradable</x:v>
      </x:c>
      <x:c r="B10" s="34" t="str">
        <x:v>FALSE</x:v>
      </x:c>
      <x:c r="C10" s="20" t="str">
        <x:v>TRUE inclui não degradáveis no cálculo</x:v>
      </x:c>
      <x:c r="D10" t="str">
        <x:v>required</x:v>
      </x:c>
    </x:row>
    <x:row r="11">
      <x:c r="A11" s="32" t="str">
        <x:v>normal_temperature_C</x:v>
      </x:c>
      <x:c r="B11" s="34" t="n">
        <x:v>0</x:v>
      </x:c>
      <x:c r="C11" s="20" t="str">
        <x:v>Temperatura de normalização</x:v>
      </x:c>
      <x:c r="D11" t="str">
        <x:v>required</x:v>
      </x:c>
    </x:row>
    <x:row r="12">
      <x:c r="A12" s="32" t="str">
        <x:v>normal_pressure_kPa</x:v>
      </x:c>
      <x:c r="B12" s="34" t="n">
        <x:v>101.325</x:v>
      </x:c>
      <x:c r="C12" s="20" t="str">
        <x:v>Pressão de normalização</x:v>
      </x:c>
      <x:c r="D12" t="str">
        <x:v>required</x:v>
      </x:c>
    </x:row>
    <x:row r="13">
      <x:c r="A13" s="32" t="str">
        <x:v>CH4_LHV_MJ_per_Nm3</x:v>
      </x:c>
      <x:c r="B13" s="34" t="n">
        <x:v>35.8</x:v>
      </x:c>
      <x:c r="C13" s="20" t="str">
        <x:v>PCI do metano por Nm³</x:v>
      </x:c>
      <x:c r="D13" t="str">
        <x:v>required</x:v>
      </x:c>
    </x:row>
    <x:row r="14">
      <x:c r="A14" s="32" t="str">
        <x:v>kWh_per_MJ</x:v>
      </x:c>
      <x:c r="B14" s="34" t="n">
        <x:v>0.277778</x:v>
      </x:c>
      <x:c r="C14" s="20" t="str">
        <x:v>Fator de conversão de MJ para kWh</x:v>
      </x:c>
      <x:c r="D14" t="str">
        <x:v>required</x:v>
      </x:c>
    </x:row>
    <x:row r="15">
      <x:c r="A15" s="32" t="str">
        <x:v>report_units</x:v>
      </x:c>
      <x:c r="B15" s="34" t="str">
        <x:v>Nm3, MJ, kWh</x:v>
      </x:c>
      <x:c r="C15" s="20" t="str">
        <x:v>Unidades principais do relatório</x:v>
      </x:c>
      <x:c r="D15" t="str">
        <x:v>optional</x:v>
      </x:c>
    </x:row>
    <x:row r="19">
      <x:c r="A19" s="18" t="str">
        <x:v>Tabela de componentes e substratos</x:v>
      </x:c>
      <x:c r="B19" s="18" t="str"/>
      <x:c r="C19" s="18" t="str"/>
      <x:c r="D19" s="18" t="str"/>
      <x:c r="E19" s="18" t="str"/>
      <x:c r="F19" s="18" t="str"/>
      <x:c r="G19" s="18" t="str"/>
      <x:c r="H19" s="18" t="str"/>
      <x:c r="I19" s="18" t="str"/>
      <x:c r="J19" s="18" t="str"/>
      <x:c r="K19" s="18" t="str"/>
      <x:c r="L19" s="18" t="str"/>
      <x:c r="M19" s="18" t="str"/>
      <x:c r="N19" s="18" t="str"/>
    </x:row>
    <x:row r="20">
      <x:c r="A20" s="30" t="str">
        <x:v>component_name</x:v>
      </x:c>
      <x:c r="B20" s="30" t="str">
        <x:v>category</x:v>
      </x:c>
      <x:c r="C20" s="30" t="str">
        <x:v>degradable</x:v>
      </x:c>
      <x:c r="D20" s="30" t="str">
        <x:v>molar_flow</x:v>
      </x:c>
      <x:c r="E20" s="30" t="str">
        <x:v>formula</x:v>
      </x:c>
      <x:c r="F20" s="30" t="str">
        <x:v>C_atoms</x:v>
      </x:c>
      <x:c r="G20" s="30" t="str">
        <x:v>H_atoms</x:v>
      </x:c>
      <x:c r="H20" s="30" t="str">
        <x:v>O_atoms</x:v>
      </x:c>
      <x:c r="I20" s="30" t="str">
        <x:v>N_atoms</x:v>
      </x:c>
      <x:c r="J20" s="30" t="str">
        <x:v>S_atoms</x:v>
      </x:c>
      <x:c r="K20" s="30" t="str">
        <x:v>input_mode</x:v>
      </x:c>
      <x:c r="L20" s="30" t="str">
        <x:v>source_or_reference</x:v>
      </x:c>
      <x:c r="M20" s="30" t="str">
        <x:v>notes</x:v>
      </x:c>
      <x:c r="N20" s="30" t="str">
        <x:v>active_row</x:v>
      </x:c>
    </x:row>
    <x:row r="21">
      <x:c r="A21" s="36" t="str">
        <x:v>GLUCOSE</x:v>
      </x:c>
      <x:c r="B21" s="36" t="str">
        <x:v>soluble sugar</x:v>
      </x:c>
      <x:c r="C21" s="36" t="str">
        <x:v>TRUE</x:v>
      </x:c>
      <x:c r="D21" s="36" t="n">
        <x:v>1</x:v>
      </x:c>
      <x:c r="E21" s="36" t="str"/>
      <x:c r="F21" s="36" t="str"/>
      <x:c r="G21" s="36" t="str"/>
      <x:c r="H21" s="36" t="str"/>
      <x:c r="I21" s="36" t="str"/>
      <x:c r="J21" s="36" t="str"/>
      <x:c r="K21" s="36" t="str">
        <x:v>DATABASE</x:v>
      </x:c>
      <x:c r="L21" s="36" t="str">
        <x:v>example</x:v>
      </x:c>
      <x:c r="M21" s="36" t="str">
        <x:v>database mode</x:v>
      </x:c>
      <x:c r="N21" s="36" t="str">
        <x:v>TRUE</x:v>
      </x:c>
    </x:row>
    <x:row r="22">
      <x:c r="A22" s="36" t="str">
        <x:v>XYLOSE</x:v>
      </x:c>
      <x:c r="B22" s="36" t="str">
        <x:v>soluble sugar</x:v>
      </x:c>
      <x:c r="C22" s="36" t="str">
        <x:v>TRUE</x:v>
      </x:c>
      <x:c r="D22" s="36" t="n">
        <x:v>0.5</x:v>
      </x:c>
      <x:c r="E22" s="36" t="str"/>
      <x:c r="F22" s="36" t="str"/>
      <x:c r="G22" s="36" t="str"/>
      <x:c r="H22" s="36" t="str"/>
      <x:c r="I22" s="36" t="str"/>
      <x:c r="J22" s="36" t="str"/>
      <x:c r="K22" s="36" t="str">
        <x:v>DATABASE</x:v>
      </x:c>
      <x:c r="L22" s="36" t="str">
        <x:v>example</x:v>
      </x:c>
      <x:c r="M22" s="36" t="str">
        <x:v>database mode</x:v>
      </x:c>
      <x:c r="N22" s="36" t="str">
        <x:v>TRUE</x:v>
      </x:c>
    </x:row>
    <x:row r="23">
      <x:c r="A23" s="36" t="str">
        <x:v>PROTEIN_GENERIC</x:v>
      </x:c>
      <x:c r="B23" s="36" t="str">
        <x:v>protein</x:v>
      </x:c>
      <x:c r="C23" s="36" t="str">
        <x:v>TRUE</x:v>
      </x:c>
      <x:c r="D23" s="36" t="n">
        <x:v>0.2</x:v>
      </x:c>
      <x:c r="E23" s="36" t="str"/>
      <x:c r="F23" s="36" t="str"/>
      <x:c r="G23" s="36" t="str"/>
      <x:c r="H23" s="36" t="str"/>
      <x:c r="I23" s="36" t="str"/>
      <x:c r="J23" s="36" t="str"/>
      <x:c r="K23" s="36" t="str">
        <x:v>DATABASE</x:v>
      </x:c>
      <x:c r="L23" s="36" t="str">
        <x:v>example</x:v>
      </x:c>
      <x:c r="M23" s="36" t="str">
        <x:v>database mode</x:v>
      </x:c>
      <x:c r="N23" s="36" t="str">
        <x:v>TRUE</x:v>
      </x:c>
    </x:row>
    <x:row r="24">
      <x:c r="A24" s="36" t="str">
        <x:v>LIGNIN_GENERIC</x:v>
      </x:c>
      <x:c r="B24" s="36" t="str">
        <x:v>lignin</x:v>
      </x:c>
      <x:c r="C24" s="36" t="str">
        <x:v>FALSE</x:v>
      </x:c>
      <x:c r="D24" s="36" t="n">
        <x:v>0.1</x:v>
      </x:c>
      <x:c r="E24" s="36" t="str"/>
      <x:c r="F24" s="36" t="str"/>
      <x:c r="G24" s="36" t="str"/>
      <x:c r="H24" s="36" t="str"/>
      <x:c r="I24" s="36" t="str"/>
      <x:c r="J24" s="36" t="str"/>
      <x:c r="K24" s="36" t="str">
        <x:v>DATABASE</x:v>
      </x:c>
      <x:c r="L24" s="36" t="str">
        <x:v>example</x:v>
      </x:c>
      <x:c r="M24" s="36" t="str">
        <x:v>not used if include_non_degradable is FALSE</x:v>
      </x:c>
      <x:c r="N24" s="36" t="str">
        <x:v>TRUE</x:v>
      </x:c>
    </x:row>
    <x:row r="25">
      <x:c r="A25" s="36" t="str">
        <x:v>CUSTOM_FORMULA</x:v>
      </x:c>
      <x:c r="B25" s="36" t="str">
        <x:v>custom</x:v>
      </x:c>
      <x:c r="C25" s="36" t="str">
        <x:v>TRUE</x:v>
      </x:c>
      <x:c r="D25" s="36" t="n">
        <x:v>0</x:v>
      </x:c>
      <x:c r="E25" s="36" t="str">
        <x:v>C6H10O5</x:v>
      </x:c>
      <x:c r="F25" s="36" t="str"/>
      <x:c r="G25" s="36" t="str"/>
      <x:c r="H25" s="36" t="str"/>
      <x:c r="I25" s="36" t="str"/>
      <x:c r="J25" s="36" t="str"/>
      <x:c r="K25" s="36" t="str">
        <x:v>FORMULA</x:v>
      </x:c>
      <x:c r="L25" s="36" t="str">
        <x:v>user</x:v>
      </x:c>
      <x:c r="M25" s="36" t="str">
        <x:v>example only</x:v>
      </x:c>
      <x:c r="N25" s="36" t="str">
        <x:v>FALSE</x:v>
      </x:c>
    </x:row>
    <x:row r="26">
      <x:c r="A26" s="36" t="str">
        <x:v>CUSTOM_ELEMENTS</x:v>
      </x:c>
      <x:c r="B26" s="36" t="str">
        <x:v>custom</x:v>
      </x:c>
      <x:c r="C26" s="36" t="str">
        <x:v>TRUE</x:v>
      </x:c>
      <x:c r="D26" s="36" t="n">
        <x:v>0</x:v>
      </x:c>
      <x:c r="E26" s="36" t="str"/>
      <x:c r="F26" s="36" t="n">
        <x:v>6</x:v>
      </x:c>
      <x:c r="G26" s="36" t="n">
        <x:v>10</x:v>
      </x:c>
      <x:c r="H26" s="36" t="n">
        <x:v>5</x:v>
      </x:c>
      <x:c r="I26" s="36" t="n">
        <x:v>0</x:v>
      </x:c>
      <x:c r="J26" s="36" t="n">
        <x:v>0</x:v>
      </x:c>
      <x:c r="K26" s="36" t="str">
        <x:v>ELEMENTS</x:v>
      </x:c>
      <x:c r="L26" s="36" t="str">
        <x:v>user</x:v>
      </x:c>
      <x:c r="M26" s="36" t="str">
        <x:v>example only</x:v>
      </x:c>
      <x:c r="N26" s="36" t="str">
        <x:v>FALSE</x:v>
      </x:c>
    </x:row>
  </x:sheetData>
  <x:mergeCells>
    <x:mergeCell ref="A1:N1"/>
    <x:mergeCell ref="A3:D3"/>
    <x:mergeCell ref="A19:N19"/>
  </x:mergeCells>
  <x:dataValidations count="3">
    <x:dataValidation type="list" sqref="C21:C200">
      <x:formula1>"TRUE,FALSE"</x:formula1>
    </x:dataValidation>
    <x:dataValidation type="list" sqref="K21:K200">
      <x:formula1>"DATABASE,FORMULA,ELEMENTS"</x:formula1>
    </x:dataValidation>
    <x:dataValidation type="list" sqref="N21:N200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16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38" t="str">
        <x:v>BioPot-Gas v0.5 | Relatório Automático de Resultados</x:v>
      </x:c>
      <x:c r="B1" s="38" t="str"/>
      <x:c r="C1" s="38" t="str"/>
      <x:c r="D1" s="38" t="str"/>
      <x:c r="E1" s="38" t="str"/>
      <x:c r="F1" s="38" t="str"/>
    </x:row>
    <x:row r="2">
      <x:c r="A2" s="20"/>
      <x:c r="B2" s="20"/>
      <x:c r="C2" s="20"/>
      <x:c r="D2" s="20"/>
      <x:c r="E2" s="20"/>
      <x:c r="F2" s="20"/>
    </x:row>
    <x:row r="3">
      <x:c r="A3" s="18" t="str">
        <x:v>Identificação</x:v>
      </x:c>
      <x:c r="B3" s="18" t="str"/>
      <x:c r="C3" s="18" t="str"/>
      <x:c r="D3" s="18" t="str"/>
      <x:c r="E3" s="18" t="str"/>
      <x:c r="F3" s="18" t="str"/>
    </x:row>
    <x:row r="4">
      <x:c r="A4" s="30" t="str">
        <x:v>Campo</x:v>
      </x:c>
      <x:c r="B4" s="30" t="str">
        <x:v>Valor</x:v>
      </x:c>
      <x:c r="C4" s="30" t="str">
        <x:v>Unidade</x:v>
      </x:c>
      <x:c r="D4" s="20"/>
      <x:c r="E4" s="20"/>
      <x:c r="F4" s="20"/>
    </x:row>
    <x:row r="5">
      <x:c r="A5" s="20" t="str">
        <x:v>Project_name</x:v>
      </x:c>
      <x:c r="B5" s="20" t="e">
        <x:f>01_INPUTS!B4</x:f>
      </x:c>
      <x:c r="C5" s="20" t="str"/>
      <x:c r="D5" s="20"/>
      <x:c r="E5" s="20"/>
      <x:c r="F5" s="20"/>
    </x:row>
    <x:row r="6">
      <x:c r="A6" s="20" t="str">
        <x:v>Analyst</x:v>
      </x:c>
      <x:c r="B6" s="20" t="e">
        <x:f>01_INPUTS!B5</x:f>
      </x:c>
      <x:c r="C6" s="20" t="str"/>
      <x:c r="D6" s="20"/>
      <x:c r="E6" s="20"/>
      <x:c r="F6" s="20"/>
    </x:row>
    <x:row r="7">
      <x:c r="A7" s="20" t="str">
        <x:v>Date</x:v>
      </x:c>
      <x:c r="B7" s="20" t="e">
        <x:f>01_INPUTS!B6</x:f>
      </x:c>
      <x:c r="C7" s="20" t="str"/>
      <x:c r="D7" s="20"/>
      <x:c r="E7" s="20"/>
      <x:c r="F7" s="20"/>
    </x:row>
    <x:row r="8">
      <x:c r="A8" s="20" t="str">
        <x:v>Basis_molar_unit</x:v>
      </x:c>
      <x:c r="B8" s="20" t="e">
        <x:f>01_INPUTS!B7</x:f>
      </x:c>
      <x:c r="C8" s="20" t="str"/>
      <x:c r="D8" s="20"/>
      <x:c r="E8" s="20"/>
      <x:c r="F8" s="20"/>
    </x:row>
    <x:row r="9">
      <x:c r="A9" s="20"/>
      <x:c r="B9" s="20"/>
      <x:c r="C9" s="20"/>
      <x:c r="D9" s="20"/>
      <x:c r="E9" s="20"/>
      <x:c r="F9" s="20"/>
    </x:row>
    <x:row r="10">
      <x:c r="A10" s="18" t="str">
        <x:v>Parâmetros usados</x:v>
      </x:c>
      <x:c r="B10" s="18" t="str"/>
      <x:c r="C10" s="18" t="str"/>
      <x:c r="D10" s="18" t="str"/>
      <x:c r="E10" s="18" t="str"/>
      <x:c r="F10" s="18" t="str"/>
    </x:row>
    <x:row r="11">
      <x:c r="A11" s="30" t="str">
        <x:v>Campo</x:v>
      </x:c>
      <x:c r="B11" s="30" t="str">
        <x:v>Valor</x:v>
      </x:c>
      <x:c r="C11" s="30" t="str">
        <x:v>Unidade</x:v>
      </x:c>
      <x:c r="D11" s="20"/>
      <x:c r="E11" s="20"/>
      <x:c r="F11" s="20"/>
    </x:row>
    <x:row r="12">
      <x:c r="A12" s="20" t="str">
        <x:v>carbon_conversion</x:v>
      </x:c>
      <x:c r="B12" s="20" t="e">
        <x:f>01_INPUTS!B8</x:f>
      </x:c>
      <x:c r="C12" s="20" t="str">
        <x:v>fraction</x:v>
      </x:c>
      <x:c r="D12" s="20"/>
      <x:c r="E12" s="20"/>
      <x:c r="F12" s="20"/>
    </x:row>
    <x:row r="13">
      <x:c r="A13" s="20" t="str">
        <x:v>normal_temperature_C</x:v>
      </x:c>
      <x:c r="B13" s="20" t="e">
        <x:f>01_INPUTS!B11</x:f>
      </x:c>
      <x:c r="C13" s="20" t="str">
        <x:v>°C</x:v>
      </x:c>
      <x:c r="D13" s="20"/>
      <x:c r="E13" s="20"/>
      <x:c r="F13" s="20"/>
    </x:row>
    <x:row r="14">
      <x:c r="A14" s="20" t="str">
        <x:v>normal_pressure_kPa</x:v>
      </x:c>
      <x:c r="B14" s="20" t="e">
        <x:f>01_INPUTS!B12</x:f>
      </x:c>
      <x:c r="C14" s="20" t="str">
        <x:v>kPa</x:v>
      </x:c>
      <x:c r="D14" s="20"/>
      <x:c r="E14" s="20"/>
      <x:c r="F14" s="20"/>
    </x:row>
    <x:row r="15">
      <x:c r="A15" s="20" t="str">
        <x:v>CH4_LHV_MJ_per_Nm3</x:v>
      </x:c>
      <x:c r="B15" s="20" t="e">
        <x:f>01_INPUTS!B13</x:f>
      </x:c>
      <x:c r="C15" s="20" t="str">
        <x:v>MJ/Nm³</x:v>
      </x:c>
      <x:c r="D15" s="20"/>
      <x:c r="E15" s="20"/>
      <x:c r="F15" s="20"/>
    </x:row>
    <x:row r="16">
      <x:c r="A16" s="20"/>
      <x:c r="B16" s="20"/>
      <x:c r="C16" s="20"/>
      <x:c r="D16" s="20"/>
      <x:c r="E16" s="20"/>
      <x:c r="F16" s="20"/>
    </x:row>
    <x:row r="17">
      <x:c r="A17" s="18" t="str">
        <x:v>Resultados molares</x:v>
      </x:c>
      <x:c r="B17" s="18" t="str"/>
      <x:c r="C17" s="18" t="str"/>
      <x:c r="D17" s="18" t="str"/>
      <x:c r="E17" s="18" t="str"/>
      <x:c r="F17" s="18" t="str"/>
    </x:row>
    <x:row r="18">
      <x:c r="A18" s="30" t="str">
        <x:v>Campo</x:v>
      </x:c>
      <x:c r="B18" s="30" t="str">
        <x:v>Valor</x:v>
      </x:c>
      <x:c r="C18" s="30" t="str">
        <x:v>Unidade</x:v>
      </x:c>
      <x:c r="D18" s="20"/>
      <x:c r="E18" s="20"/>
      <x:c r="F18" s="20"/>
    </x:row>
    <x:row r="19">
      <x:c r="A19" s="20" t="str">
        <x:v>CH4_mol</x:v>
      </x:c>
      <x:c r="B19" s="20"/>
      <x:c r="C19" s="20" t="str"/>
      <x:c r="D19" s="20"/>
      <x:c r="E19" s="20"/>
      <x:c r="F19" s="20"/>
    </x:row>
    <x:row r="20">
      <x:c r="A20" s="20" t="str">
        <x:v>CO2_mol</x:v>
      </x:c>
      <x:c r="B20" s="20"/>
      <x:c r="C20" s="20" t="str"/>
      <x:c r="D20" s="20"/>
      <x:c r="E20" s="20"/>
      <x:c r="F20" s="20"/>
    </x:row>
    <x:row r="21">
      <x:c r="A21" s="20" t="str">
        <x:v>NH3_mol</x:v>
      </x:c>
      <x:c r="B21" s="20"/>
      <x:c r="C21" s="20" t="str"/>
      <x:c r="D21" s="20"/>
      <x:c r="E21" s="20"/>
      <x:c r="F21" s="20"/>
    </x:row>
    <x:row r="22">
      <x:c r="A22" s="20" t="str">
        <x:v>H2S_mol</x:v>
      </x:c>
      <x:c r="B22" s="20"/>
      <x:c r="C22" s="20" t="str"/>
      <x:c r="D22" s="20"/>
      <x:c r="E22" s="20"/>
      <x:c r="F22" s="20"/>
    </x:row>
    <x:row r="23">
      <x:c r="A23" s="20" t="str">
        <x:v>total_gas_mol</x:v>
      </x:c>
      <x:c r="B23" s="20"/>
      <x:c r="C23" s="20" t="str"/>
      <x:c r="D23" s="20"/>
      <x:c r="E23" s="20"/>
      <x:c r="F23" s="20"/>
    </x:row>
    <x:row r="24">
      <x:c r="A24" s="20" t="str">
        <x:v>CH4_mol_fraction</x:v>
      </x:c>
      <x:c r="B24" s="20"/>
      <x:c r="C24" s="20" t="str"/>
      <x:c r="D24" s="20"/>
      <x:c r="E24" s="20"/>
      <x:c r="F24" s="20"/>
    </x:row>
    <x:row r="25">
      <x:c r="A25" s="20" t="str">
        <x:v>inert_carbon_mol</x:v>
      </x:c>
      <x:c r="B25" s="20"/>
      <x:c r="C25" s="20" t="str"/>
      <x:c r="D25" s="20"/>
      <x:c r="E25" s="20"/>
      <x:c r="F25" s="20"/>
    </x:row>
    <x:row r="26">
      <x:c r="A26" s="20"/>
      <x:c r="B26" s="20"/>
      <x:c r="C26" s="20"/>
      <x:c r="D26" s="20"/>
      <x:c r="E26" s="20"/>
      <x:c r="F26" s="20"/>
    </x:row>
    <x:row r="27">
      <x:c r="A27" s="18" t="str">
        <x:v>Resultados volumétricos normalizados</x:v>
      </x:c>
      <x:c r="B27" s="18" t="str"/>
      <x:c r="C27" s="18" t="str"/>
      <x:c r="D27" s="18" t="str"/>
      <x:c r="E27" s="18" t="str"/>
      <x:c r="F27" s="18" t="str"/>
    </x:row>
    <x:row r="28">
      <x:c r="A28" s="30" t="str">
        <x:v>Campo</x:v>
      </x:c>
      <x:c r="B28" s="30" t="str">
        <x:v>Valor</x:v>
      </x:c>
      <x:c r="C28" s="30" t="str">
        <x:v>Unidade</x:v>
      </x:c>
      <x:c r="D28" s="20"/>
      <x:c r="E28" s="20"/>
      <x:c r="F28" s="20"/>
    </x:row>
    <x:row r="29">
      <x:c r="A29" s="20" t="str">
        <x:v>CH4_Nm3</x:v>
      </x:c>
      <x:c r="B29" s="20"/>
      <x:c r="C29" s="20" t="str">
        <x:v>Nm³</x:v>
      </x:c>
      <x:c r="D29" s="20"/>
      <x:c r="E29" s="20"/>
      <x:c r="F29" s="20"/>
    </x:row>
    <x:row r="30">
      <x:c r="A30" s="20" t="str">
        <x:v>CO2_Nm3</x:v>
      </x:c>
      <x:c r="B30" s="20"/>
      <x:c r="C30" s="20" t="str">
        <x:v>Nm³</x:v>
      </x:c>
      <x:c r="D30" s="20"/>
      <x:c r="E30" s="20"/>
      <x:c r="F30" s="20"/>
    </x:row>
    <x:row r="31">
      <x:c r="A31" s="20" t="str">
        <x:v>NH3_Nm3</x:v>
      </x:c>
      <x:c r="B31" s="20"/>
      <x:c r="C31" s="20" t="str">
        <x:v>Nm³</x:v>
      </x:c>
      <x:c r="D31" s="20"/>
      <x:c r="E31" s="20"/>
      <x:c r="F31" s="20"/>
    </x:row>
    <x:row r="32">
      <x:c r="A32" s="20" t="str">
        <x:v>H2S_Nm3</x:v>
      </x:c>
      <x:c r="B32" s="20"/>
      <x:c r="C32" s="20" t="str">
        <x:v>Nm³</x:v>
      </x:c>
      <x:c r="D32" s="20"/>
      <x:c r="E32" s="20"/>
      <x:c r="F32" s="20"/>
    </x:row>
    <x:row r="33">
      <x:c r="A33" s="20" t="str">
        <x:v>total_biogas_Nm3</x:v>
      </x:c>
      <x:c r="B33" s="20"/>
      <x:c r="C33" s="20" t="str">
        <x:v>Nm³</x:v>
      </x:c>
      <x:c r="D33" s="20"/>
      <x:c r="E33" s="20"/>
      <x:c r="F33" s="20"/>
    </x:row>
    <x:row r="34">
      <x:c r="A34" s="20" t="str">
        <x:v>CH4_vol_percent</x:v>
      </x:c>
      <x:c r="B34" s="20"/>
      <x:c r="C34" s="20" t="str">
        <x:v>%</x:v>
      </x:c>
      <x:c r="D34" s="20"/>
      <x:c r="E34" s="20"/>
      <x:c r="F34" s="20"/>
    </x:row>
    <x:row r="35">
      <x:c r="A35" s="20"/>
      <x:c r="B35" s="20"/>
      <x:c r="C35" s="20"/>
      <x:c r="D35" s="20"/>
      <x:c r="E35" s="20"/>
      <x:c r="F35" s="20"/>
    </x:row>
    <x:row r="36">
      <x:c r="A36" s="18" t="str">
        <x:v>Resultados energéticos</x:v>
      </x:c>
      <x:c r="B36" s="18" t="str"/>
      <x:c r="C36" s="18" t="str"/>
      <x:c r="D36" s="18" t="str"/>
      <x:c r="E36" s="18" t="str"/>
      <x:c r="F36" s="18" t="str"/>
    </x:row>
    <x:row r="37">
      <x:c r="A37" s="30" t="str">
        <x:v>Campo</x:v>
      </x:c>
      <x:c r="B37" s="30" t="str">
        <x:v>Valor</x:v>
      </x:c>
      <x:c r="C37" s="30" t="str">
        <x:v>Unidade</x:v>
      </x:c>
      <x:c r="D37" s="20"/>
      <x:c r="E37" s="20"/>
      <x:c r="F37" s="20"/>
    </x:row>
    <x:row r="38">
      <x:c r="A38" s="20" t="str">
        <x:v>CH4_energy_LHV_MJ</x:v>
      </x:c>
      <x:c r="B38" s="20"/>
      <x:c r="C38" s="20" t="str">
        <x:v>MJ</x:v>
      </x:c>
      <x:c r="D38" s="20"/>
      <x:c r="E38" s="20"/>
      <x:c r="F38" s="20"/>
    </x:row>
    <x:row r="39">
      <x:c r="A39" s="20" t="str">
        <x:v>CH4_energy_LHV_kWh</x:v>
      </x:c>
      <x:c r="B39" s="20"/>
      <x:c r="C39" s="20" t="str">
        <x:v>kWh</x:v>
      </x:c>
      <x:c r="D39" s="20"/>
      <x:c r="E39" s="20"/>
      <x:c r="F39" s="20"/>
    </x:row>
    <x:row r="40">
      <x:c r="A40" s="20" t="str">
        <x:v>CH4_to_CO2_molar_ratio</x:v>
      </x:c>
      <x:c r="B40" s="20"/>
      <x:c r="C40" s="20" t="str">
        <x:v>mol/mol</x:v>
      </x:c>
      <x:c r="D40" s="20"/>
      <x:c r="E40" s="20"/>
      <x:c r="F40" s="20"/>
    </x:row>
    <x:row r="41">
      <x:c r="A41" s="20"/>
      <x:c r="B41" s="20"/>
      <x:c r="C41" s="20"/>
      <x:c r="D41" s="20"/>
      <x:c r="E41" s="20"/>
      <x:c r="F41" s="20"/>
    </x:row>
    <x:row r="42">
      <x:c r="A42" s="18" t="str">
        <x:v>Mensagens e alertas</x:v>
      </x:c>
      <x:c r="B42" s="18" t="str"/>
      <x:c r="C42" s="18" t="str"/>
      <x:c r="D42" s="18" t="str"/>
      <x:c r="E42" s="18" t="str"/>
      <x:c r="F42" s="18" t="str"/>
    </x:row>
    <x:row r="43">
      <x:c r="A43" s="30" t="str">
        <x:v>Campo</x:v>
      </x:c>
      <x:c r="B43" s="30" t="str">
        <x:v>Valor</x:v>
      </x:c>
      <x:c r="C43" s="30" t="str">
        <x:v>Unidade</x:v>
      </x:c>
      <x:c r="D43" s="20"/>
      <x:c r="E43" s="20"/>
      <x:c r="F43" s="20"/>
    </x:row>
    <x:row r="44">
      <x:c r="A44" s="20" t="str">
        <x:v>calculation_status</x:v>
      </x:c>
      <x:c r="B44" s="20"/>
      <x:c r="C44" s="20" t="str"/>
      <x:c r="D44" s="20"/>
      <x:c r="E44" s="20"/>
      <x:c r="F44" s="20"/>
    </x:row>
    <x:row r="45">
      <x:c r="A45" s="20" t="str">
        <x:v>warnings</x:v>
      </x:c>
      <x:c r="B45" s="20"/>
      <x:c r="C45" s="20" t="str"/>
      <x:c r="D45" s="20"/>
      <x:c r="E45" s="20"/>
      <x:c r="F45" s="20"/>
    </x:row>
    <x:row r="46">
      <x:c r="A46" s="20"/>
      <x:c r="B46" s="20"/>
      <x:c r="C46" s="20"/>
      <x:c r="D46" s="20"/>
      <x:c r="E46" s="20"/>
      <x:c r="F46" s="20"/>
    </x:row>
    <x:row r="47">
      <x:c r="A47" s="20"/>
      <x:c r="B47" s="20"/>
      <x:c r="C47" s="20"/>
      <x:c r="D47" s="20"/>
      <x:c r="E47" s="20"/>
      <x:c r="F47" s="20"/>
    </x:row>
    <x:row r="48">
      <x:c r="A48" s="20"/>
      <x:c r="B48" s="20"/>
      <x:c r="C48" s="20"/>
      <x:c r="D48" s="20"/>
      <x:c r="E48" s="20"/>
      <x:c r="F48" s="20"/>
    </x:row>
    <x:row r="49">
      <x:c r="A49" s="20"/>
      <x:c r="B49" s="20"/>
      <x:c r="C49" s="20"/>
      <x:c r="D49" s="20"/>
      <x:c r="E49" s="20"/>
      <x:c r="F49" s="20"/>
    </x:row>
    <x:row r="50">
      <x:c r="A50" s="20"/>
      <x:c r="B50" s="20"/>
      <x:c r="C50" s="20"/>
      <x:c r="D50" s="20"/>
      <x:c r="E50" s="20"/>
      <x:c r="F50" s="20"/>
    </x:row>
    <x:row r="51">
      <x:c r="A51" s="20"/>
      <x:c r="B51" s="20"/>
      <x:c r="C51" s="20"/>
      <x:c r="D51" s="20"/>
      <x:c r="E51" s="20"/>
      <x:c r="F51" s="20"/>
    </x:row>
    <x:row r="52">
      <x:c r="A52" s="20"/>
      <x:c r="B52" s="20"/>
      <x:c r="C52" s="20"/>
      <x:c r="D52" s="20"/>
      <x:c r="E52" s="20"/>
      <x:c r="F52" s="20"/>
    </x:row>
    <x:row r="53">
      <x:c r="A53" s="20"/>
      <x:c r="B53" s="20"/>
      <x:c r="C53" s="20"/>
      <x:c r="D53" s="20"/>
      <x:c r="E53" s="20"/>
      <x:c r="F53" s="20"/>
    </x:row>
    <x:row r="54">
      <x:c r="A54" s="20"/>
      <x:c r="B54" s="20"/>
      <x:c r="C54" s="20"/>
      <x:c r="D54" s="20"/>
      <x:c r="E54" s="20"/>
      <x:c r="F54" s="20"/>
    </x:row>
    <x:row r="55">
      <x:c r="A55" s="20"/>
      <x:c r="B55" s="20"/>
      <x:c r="C55" s="20"/>
      <x:c r="D55" s="20"/>
      <x:c r="E55" s="20"/>
      <x:c r="F55" s="20"/>
    </x:row>
    <x:row r="56">
      <x:c r="A56" s="20"/>
      <x:c r="B56" s="20"/>
      <x:c r="C56" s="20"/>
      <x:c r="D56" s="20"/>
      <x:c r="E56" s="20"/>
      <x:c r="F56" s="20"/>
    </x:row>
    <x:row r="57">
      <x:c r="A57" s="20"/>
      <x:c r="B57" s="20"/>
      <x:c r="C57" s="20"/>
      <x:c r="D57" s="20"/>
      <x:c r="E57" s="20"/>
      <x:c r="F57" s="20"/>
    </x:row>
    <x:row r="58">
      <x:c r="A58" s="20"/>
      <x:c r="B58" s="20"/>
      <x:c r="C58" s="20"/>
      <x:c r="D58" s="20"/>
      <x:c r="E58" s="20"/>
      <x:c r="F58" s="20"/>
    </x:row>
    <x:row r="59">
      <x:c r="A59" s="20"/>
      <x:c r="B59" s="20"/>
      <x:c r="C59" s="20"/>
      <x:c r="D59" s="20"/>
      <x:c r="E59" s="20"/>
      <x:c r="F59" s="20"/>
    </x:row>
    <x:row r="60">
      <x:c r="A60" s="20"/>
      <x:c r="B60" s="20"/>
      <x:c r="C60" s="20"/>
      <x:c r="D60" s="20"/>
      <x:c r="E60" s="20"/>
      <x:c r="F60" s="20"/>
    </x:row>
    <x:row r="61">
      <x:c r="A61" s="20"/>
      <x:c r="B61" s="20"/>
      <x:c r="C61" s="20"/>
      <x:c r="D61" s="20"/>
      <x:c r="E61" s="20"/>
      <x:c r="F61" s="20"/>
    </x:row>
    <x:row r="62">
      <x:c r="A62" s="20"/>
      <x:c r="B62" s="20"/>
      <x:c r="C62" s="20"/>
      <x:c r="D62" s="20"/>
      <x:c r="E62" s="20"/>
      <x:c r="F62" s="20"/>
    </x:row>
    <x:row r="63">
      <x:c r="A63" s="20"/>
      <x:c r="B63" s="20"/>
      <x:c r="C63" s="20"/>
      <x:c r="D63" s="20"/>
      <x:c r="E63" s="20"/>
      <x:c r="F63" s="20"/>
    </x:row>
    <x:row r="64">
      <x:c r="A64" s="20"/>
      <x:c r="B64" s="20"/>
      <x:c r="C64" s="20"/>
      <x:c r="D64" s="20"/>
      <x:c r="E64" s="20"/>
      <x:c r="F64" s="20"/>
    </x:row>
    <x:row r="65">
      <x:c r="A65" s="20"/>
      <x:c r="B65" s="20"/>
      <x:c r="C65" s="20"/>
      <x:c r="D65" s="20"/>
      <x:c r="E65" s="20"/>
      <x:c r="F65" s="20"/>
    </x:row>
    <x:row r="66">
      <x:c r="A66" s="20"/>
      <x:c r="B66" s="20"/>
      <x:c r="C66" s="20"/>
      <x:c r="D66" s="20"/>
      <x:c r="E66" s="20"/>
      <x:c r="F66" s="20"/>
    </x:row>
    <x:row r="67">
      <x:c r="A67" s="20"/>
      <x:c r="B67" s="20"/>
      <x:c r="C67" s="20"/>
      <x:c r="D67" s="20"/>
      <x:c r="E67" s="20"/>
      <x:c r="F67" s="20"/>
    </x:row>
    <x:row r="68">
      <x:c r="A68" s="20"/>
      <x:c r="B68" s="20"/>
      <x:c r="C68" s="20"/>
      <x:c r="D68" s="20"/>
      <x:c r="E68" s="20"/>
      <x:c r="F68" s="20"/>
    </x:row>
    <x:row r="69">
      <x:c r="A69" s="20"/>
      <x:c r="B69" s="20"/>
      <x:c r="C69" s="20"/>
      <x:c r="D69" s="20"/>
      <x:c r="E69" s="20"/>
      <x:c r="F69" s="20"/>
    </x:row>
    <x:row r="70">
      <x:c r="A70" s="20"/>
      <x:c r="B70" s="20"/>
      <x:c r="C70" s="20"/>
      <x:c r="D70" s="20"/>
      <x:c r="E70" s="20"/>
      <x:c r="F70" s="20"/>
    </x:row>
    <x:row r="71">
      <x:c r="A71" s="20"/>
      <x:c r="B71" s="20"/>
      <x:c r="C71" s="20"/>
      <x:c r="D71" s="20"/>
      <x:c r="E71" s="20"/>
      <x:c r="F71" s="20"/>
    </x:row>
    <x:row r="72">
      <x:c r="A72" s="20"/>
      <x:c r="B72" s="20"/>
      <x:c r="C72" s="20"/>
      <x:c r="D72" s="20"/>
      <x:c r="E72" s="20"/>
      <x:c r="F72" s="20"/>
    </x:row>
    <x:row r="73">
      <x:c r="A73" s="20"/>
      <x:c r="B73" s="20"/>
      <x:c r="C73" s="20"/>
      <x:c r="D73" s="20"/>
      <x:c r="E73" s="20"/>
      <x:c r="F73" s="20"/>
    </x:row>
    <x:row r="74">
      <x:c r="A74" s="20"/>
      <x:c r="B74" s="20"/>
      <x:c r="C74" s="20"/>
      <x:c r="D74" s="20"/>
      <x:c r="E74" s="20"/>
      <x:c r="F74" s="20"/>
    </x:row>
    <x:row r="75">
      <x:c r="A75" s="20"/>
      <x:c r="B75" s="20"/>
      <x:c r="C75" s="20"/>
      <x:c r="D75" s="20"/>
      <x:c r="E75" s="20"/>
      <x:c r="F75" s="20"/>
    </x:row>
    <x:row r="76">
      <x:c r="A76" s="20"/>
      <x:c r="B76" s="20"/>
      <x:c r="C76" s="20"/>
      <x:c r="D76" s="20"/>
      <x:c r="E76" s="20"/>
      <x:c r="F76" s="20"/>
    </x:row>
    <x:row r="77">
      <x:c r="A77" s="20"/>
      <x:c r="B77" s="20"/>
      <x:c r="C77" s="20"/>
      <x:c r="D77" s="20"/>
      <x:c r="E77" s="20"/>
      <x:c r="F77" s="20"/>
    </x:row>
    <x:row r="78">
      <x:c r="A78" s="20"/>
      <x:c r="B78" s="20"/>
      <x:c r="C78" s="20"/>
      <x:c r="D78" s="20"/>
      <x:c r="E78" s="20"/>
      <x:c r="F78" s="20"/>
    </x:row>
    <x:row r="79">
      <x:c r="A79" s="20"/>
      <x:c r="B79" s="20"/>
      <x:c r="C79" s="20"/>
      <x:c r="D79" s="20"/>
      <x:c r="E79" s="20"/>
      <x:c r="F79" s="20"/>
    </x:row>
    <x:row r="80">
      <x:c r="A80" s="20"/>
      <x:c r="B80" s="20"/>
      <x:c r="C80" s="20"/>
      <x:c r="D80" s="20"/>
      <x:c r="E80" s="20"/>
      <x:c r="F80" s="20"/>
    </x:row>
  </x:sheetData>
  <x:mergeCells>
    <x:mergeCell ref="A1:F1"/>
    <x:mergeCell ref="A3:F3"/>
    <x:mergeCell ref="A10:F10"/>
    <x:mergeCell ref="A17:F17"/>
    <x:mergeCell ref="A27:F27"/>
    <x:mergeCell ref="A36:F36"/>
    <x:mergeCell ref="A42:F4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22" hidden="0" customWidth="1"/>
    <x:col min="9" max="9" width="16" hidden="0" customWidth="1"/>
    <x:col min="10" max="10" width="28" hidden="0" customWidth="1"/>
    <x:col min="11" max="11" width="10" hidden="0" customWidth="1"/>
  </x:cols>
  <x:sheetData>
    <x:row r="1">
      <x:c r="A1" s="12" t="str">
        <x:v>BioPot-Gas v0.5 | Banco de Componentes</x:v>
      </x:c>
      <x:c r="B1" s="12" t="str"/>
      <x:c r="C1" s="12" t="str"/>
      <x:c r="D1" s="12" t="str"/>
      <x:c r="E1" s="12" t="str"/>
      <x:c r="F1" s="12" t="str"/>
      <x:c r="G1" s="12" t="str"/>
      <x:c r="H1" s="12" t="str"/>
      <x:c r="I1" s="12" t="str"/>
      <x:c r="J1" s="12" t="str"/>
      <x:c r="K1" s="12" t="str"/>
    </x:row>
    <x:row r="3">
      <x:c r="A3" s="30" t="str">
        <x:v>component_name</x:v>
      </x:c>
      <x:c r="B3" s="30" t="str">
        <x:v>formula</x:v>
      </x:c>
      <x:c r="C3" s="30" t="str">
        <x:v>C_atoms</x:v>
      </x:c>
      <x:c r="D3" s="30" t="str">
        <x:v>H_atoms</x:v>
      </x:c>
      <x:c r="E3" s="30" t="str">
        <x:v>O_atoms</x:v>
      </x:c>
      <x:c r="F3" s="30" t="str">
        <x:v>N_atoms</x:v>
      </x:c>
      <x:c r="G3" s="30" t="str">
        <x:v>S_atoms</x:v>
      </x:c>
      <x:c r="H3" s="30" t="str">
        <x:v>category</x:v>
      </x:c>
      <x:c r="I3" s="30" t="str">
        <x:v>default_degradable</x:v>
      </x:c>
      <x:c r="J3" s="30" t="str">
        <x:v>source_or_note</x:v>
      </x:c>
      <x:c r="K3" s="30" t="str">
        <x:v>active</x:v>
      </x:c>
    </x:row>
    <x:row r="4">
      <x:c r="A4" s="20" t="str">
        <x:v>GLUCOSE</x:v>
      </x:c>
      <x:c r="B4" s="20" t="str">
        <x:v>C6H12O6</x:v>
      </x:c>
      <x:c r="C4" s="20" t="n">
        <x:v>6</x:v>
      </x:c>
      <x:c r="D4" s="20" t="n">
        <x:v>12</x:v>
      </x:c>
      <x:c r="E4" s="20" t="n">
        <x:v>6</x:v>
      </x:c>
      <x:c r="F4" s="20" t="n">
        <x:v>0</x:v>
      </x:c>
      <x:c r="G4" s="20" t="n">
        <x:v>0</x:v>
      </x:c>
      <x:c r="H4" s="20" t="str">
        <x:v>soluble sugar</x:v>
      </x:c>
      <x:c r="I4" s="20" t="str">
        <x:v>TRUE</x:v>
      </x:c>
      <x:c r="J4" s="20" t="str">
        <x:v>initial database</x:v>
      </x:c>
      <x:c r="K4" s="20" t="str">
        <x:v>TRUE</x:v>
      </x:c>
    </x:row>
    <x:row r="5">
      <x:c r="A5" s="20" t="str">
        <x:v>SUCROSE</x:v>
      </x:c>
      <x:c r="B5" s="20" t="str">
        <x:v>C12H22O11</x:v>
      </x:c>
      <x:c r="C5" s="20" t="n">
        <x:v>12</x:v>
      </x:c>
      <x:c r="D5" s="20" t="n">
        <x:v>22</x:v>
      </x:c>
      <x:c r="E5" s="20" t="n">
        <x:v>11</x:v>
      </x:c>
      <x:c r="F5" s="20" t="n">
        <x:v>0</x:v>
      </x:c>
      <x:c r="G5" s="20" t="n">
        <x:v>0</x:v>
      </x:c>
      <x:c r="H5" s="20" t="str">
        <x:v>soluble sugar</x:v>
      </x:c>
      <x:c r="I5" s="20" t="str">
        <x:v>TRUE</x:v>
      </x:c>
      <x:c r="J5" s="20" t="str">
        <x:v>initial database</x:v>
      </x:c>
      <x:c r="K5" s="20" t="str">
        <x:v>TRUE</x:v>
      </x:c>
    </x:row>
    <x:row r="6">
      <x:c r="A6" s="20" t="str">
        <x:v>XYLOSE</x:v>
      </x:c>
      <x:c r="B6" s="20" t="str">
        <x:v>C5H10O5</x:v>
      </x:c>
      <x:c r="C6" s="20" t="n">
        <x:v>5</x:v>
      </x:c>
      <x:c r="D6" s="20" t="n">
        <x:v>10</x:v>
      </x:c>
      <x:c r="E6" s="20" t="n">
        <x:v>5</x:v>
      </x:c>
      <x:c r="F6" s="20" t="n">
        <x:v>0</x:v>
      </x:c>
      <x:c r="G6" s="20" t="n">
        <x:v>0</x:v>
      </x:c>
      <x:c r="H6" s="20" t="str">
        <x:v>soluble sugar</x:v>
      </x:c>
      <x:c r="I6" s="20" t="str">
        <x:v>TRUE</x:v>
      </x:c>
      <x:c r="J6" s="20" t="str">
        <x:v>initial database</x:v>
      </x:c>
      <x:c r="K6" s="20" t="str">
        <x:v>TRUE</x:v>
      </x:c>
    </x:row>
    <x:row r="7">
      <x:c r="A7" s="20" t="str">
        <x:v>GALACTOSE</x:v>
      </x:c>
      <x:c r="B7" s="20" t="str">
        <x:v>C6H12O6</x:v>
      </x:c>
      <x:c r="C7" s="20" t="n">
        <x:v>6</x:v>
      </x:c>
      <x:c r="D7" s="20" t="n">
        <x:v>12</x:v>
      </x:c>
      <x:c r="E7" s="20" t="n">
        <x:v>6</x:v>
      </x:c>
      <x:c r="F7" s="20" t="n">
        <x:v>0</x:v>
      </x:c>
      <x:c r="G7" s="20" t="n">
        <x:v>0</x:v>
      </x:c>
      <x:c r="H7" s="20" t="str">
        <x:v>soluble sugar</x:v>
      </x:c>
      <x:c r="I7" s="20" t="str">
        <x:v>TRUE</x:v>
      </x:c>
      <x:c r="J7" s="20" t="str">
        <x:v>initial database</x:v>
      </x:c>
      <x:c r="K7" s="20" t="str">
        <x:v>TRUE</x:v>
      </x:c>
    </x:row>
    <x:row r="8">
      <x:c r="A8" s="20" t="str">
        <x:v>ARABINOSE</x:v>
      </x:c>
      <x:c r="B8" s="20" t="str">
        <x:v>C5H10O5</x:v>
      </x:c>
      <x:c r="C8" s="20" t="n">
        <x:v>5</x:v>
      </x:c>
      <x:c r="D8" s="20" t="n">
        <x:v>10</x:v>
      </x:c>
      <x:c r="E8" s="20" t="n">
        <x:v>5</x:v>
      </x:c>
      <x:c r="F8" s="20" t="n">
        <x:v>0</x:v>
      </x:c>
      <x:c r="G8" s="20" t="n">
        <x:v>0</x:v>
      </x:c>
      <x:c r="H8" s="20" t="str">
        <x:v>soluble sugar</x:v>
      </x:c>
      <x:c r="I8" s="20" t="str">
        <x:v>TRUE</x:v>
      </x:c>
      <x:c r="J8" s="20" t="str">
        <x:v>initial database</x:v>
      </x:c>
      <x:c r="K8" s="20" t="str">
        <x:v>TRUE</x:v>
      </x:c>
    </x:row>
    <x:row r="9">
      <x:c r="A9" s="20" t="str">
        <x:v>GLUCAN</x:v>
      </x:c>
      <x:c r="B9" s="20" t="str">
        <x:v>C6H10O5</x:v>
      </x:c>
      <x:c r="C9" s="20" t="n">
        <x:v>6</x:v>
      </x:c>
      <x:c r="D9" s="20" t="n">
        <x:v>10</x:v>
      </x:c>
      <x:c r="E9" s="20" t="n">
        <x:v>5</x:v>
      </x:c>
      <x:c r="F9" s="20" t="n">
        <x:v>0</x:v>
      </x:c>
      <x:c r="G9" s="20" t="n">
        <x:v>0</x:v>
      </x:c>
      <x:c r="H9" s="20" t="str">
        <x:v>structural carbohydrate</x:v>
      </x:c>
      <x:c r="I9" s="20" t="str">
        <x:v>TRUE</x:v>
      </x:c>
      <x:c r="J9" s="20" t="str">
        <x:v>initial database</x:v>
      </x:c>
      <x:c r="K9" s="20" t="str">
        <x:v>TRUE</x:v>
      </x:c>
    </x:row>
    <x:row r="10">
      <x:c r="A10" s="20" t="str">
        <x:v>XYLAN</x:v>
      </x:c>
      <x:c r="B10" s="20" t="str">
        <x:v>C5H8O4</x:v>
      </x:c>
      <x:c r="C10" s="20" t="n">
        <x:v>5</x:v>
      </x:c>
      <x:c r="D10" s="20" t="n">
        <x:v>8</x:v>
      </x:c>
      <x:c r="E10" s="20" t="n">
        <x:v>4</x:v>
      </x:c>
      <x:c r="F10" s="20" t="n">
        <x:v>0</x:v>
      </x:c>
      <x:c r="G10" s="20" t="n">
        <x:v>0</x:v>
      </x:c>
      <x:c r="H10" s="20" t="str">
        <x:v>hemicelluloses</x:v>
      </x:c>
      <x:c r="I10" s="20" t="str">
        <x:v>TRUE</x:v>
      </x:c>
      <x:c r="J10" s="20" t="str">
        <x:v>initial database</x:v>
      </x:c>
      <x:c r="K10" s="20" t="str">
        <x:v>TRUE</x:v>
      </x:c>
    </x:row>
    <x:row r="11">
      <x:c r="A11" s="20" t="str">
        <x:v>GALACTAN</x:v>
      </x:c>
      <x:c r="B11" s="20" t="str">
        <x:v>C6H10O5</x:v>
      </x:c>
      <x:c r="C11" s="20" t="n">
        <x:v>6</x:v>
      </x:c>
      <x:c r="D11" s="20" t="n">
        <x:v>10</x:v>
      </x:c>
      <x:c r="E11" s="20" t="n">
        <x:v>5</x:v>
      </x:c>
      <x:c r="F11" s="20" t="n">
        <x:v>0</x:v>
      </x:c>
      <x:c r="G11" s="20" t="n">
        <x:v>0</x:v>
      </x:c>
      <x:c r="H11" s="20" t="str">
        <x:v>hemicelluloses</x:v>
      </x:c>
      <x:c r="I11" s="20" t="str">
        <x:v>TRUE</x:v>
      </x:c>
      <x:c r="J11" s="20" t="str">
        <x:v>initial database</x:v>
      </x:c>
      <x:c r="K11" s="20" t="str">
        <x:v>TRUE</x:v>
      </x:c>
    </x:row>
    <x:row r="12">
      <x:c r="A12" s="20" t="str">
        <x:v>ARABINAN</x:v>
      </x:c>
      <x:c r="B12" s="20" t="str">
        <x:v>C5H8O4</x:v>
      </x:c>
      <x:c r="C12" s="20" t="n">
        <x:v>5</x:v>
      </x:c>
      <x:c r="D12" s="20" t="n">
        <x:v>8</x:v>
      </x:c>
      <x:c r="E12" s="20" t="n">
        <x:v>4</x:v>
      </x:c>
      <x:c r="F12" s="20" t="n">
        <x:v>0</x:v>
      </x:c>
      <x:c r="G12" s="20" t="n">
        <x:v>0</x:v>
      </x:c>
      <x:c r="H12" s="20" t="str">
        <x:v>hemicelluloses</x:v>
      </x:c>
      <x:c r="I12" s="20" t="str">
        <x:v>TRUE</x:v>
      </x:c>
      <x:c r="J12" s="20" t="str">
        <x:v>initial database</x:v>
      </x:c>
      <x:c r="K12" s="20" t="str">
        <x:v>TRUE</x:v>
      </x:c>
    </x:row>
    <x:row r="13">
      <x:c r="A13" s="20" t="str">
        <x:v>ETHANOL</x:v>
      </x:c>
      <x:c r="B13" s="20" t="str">
        <x:v>C2H6O</x:v>
      </x:c>
      <x:c r="C13" s="20" t="n">
        <x:v>2</x:v>
      </x:c>
      <x:c r="D13" s="20" t="n">
        <x:v>6</x:v>
      </x:c>
      <x:c r="E13" s="20" t="n">
        <x:v>1</x:v>
      </x:c>
      <x:c r="F13" s="20" t="n">
        <x:v>0</x:v>
      </x:c>
      <x:c r="G13" s="20" t="n">
        <x:v>0</x:v>
      </x:c>
      <x:c r="H13" s="20" t="str">
        <x:v>alcohol</x:v>
      </x:c>
      <x:c r="I13" s="20" t="str">
        <x:v>TRUE</x:v>
      </x:c>
      <x:c r="J13" s="20" t="str">
        <x:v>initial database</x:v>
      </x:c>
      <x:c r="K13" s="20" t="str">
        <x:v>TRUE</x:v>
      </x:c>
    </x:row>
    <x:row r="14">
      <x:c r="A14" s="20" t="str">
        <x:v>FURFURAL</x:v>
      </x:c>
      <x:c r="B14" s="20" t="str">
        <x:v>C5H4O2</x:v>
      </x:c>
      <x:c r="C14" s="20" t="n">
        <x:v>5</x:v>
      </x:c>
      <x:c r="D14" s="20" t="n">
        <x:v>4</x:v>
      </x:c>
      <x:c r="E14" s="20" t="n">
        <x:v>2</x:v>
      </x:c>
      <x:c r="F14" s="20" t="n">
        <x:v>0</x:v>
      </x:c>
      <x:c r="G14" s="20" t="n">
        <x:v>0</x:v>
      </x:c>
      <x:c r="H14" s="20" t="str">
        <x:v>intermediate</x:v>
      </x:c>
      <x:c r="I14" s="20" t="str">
        <x:v>TRUE</x:v>
      </x:c>
      <x:c r="J14" s="20" t="str">
        <x:v>initial database</x:v>
      </x:c>
      <x:c r="K14" s="20" t="str">
        <x:v>TRUE</x:v>
      </x:c>
    </x:row>
    <x:row r="15">
      <x:c r="A15" s="20" t="str">
        <x:v>GLYCEROL</x:v>
      </x:c>
      <x:c r="B15" s="20" t="str">
        <x:v>C3H8O3</x:v>
      </x:c>
      <x:c r="C15" s="20" t="n">
        <x:v>3</x:v>
      </x:c>
      <x:c r="D15" s="20" t="n">
        <x:v>8</x:v>
      </x:c>
      <x:c r="E15" s="20" t="n">
        <x:v>3</x:v>
      </x:c>
      <x:c r="F15" s="20" t="n">
        <x:v>0</x:v>
      </x:c>
      <x:c r="G15" s="20" t="n">
        <x:v>0</x:v>
      </x:c>
      <x:c r="H15" s="20" t="str">
        <x:v>polyol</x:v>
      </x:c>
      <x:c r="I15" s="20" t="str">
        <x:v>TRUE</x:v>
      </x:c>
      <x:c r="J15" s="20" t="str">
        <x:v>initial database</x:v>
      </x:c>
      <x:c r="K15" s="20" t="str">
        <x:v>TRUE</x:v>
      </x:c>
    </x:row>
    <x:row r="16">
      <x:c r="A16" s="20" t="str">
        <x:v>PROTEIN_GENERIC</x:v>
      </x:c>
      <x:c r="B16" s="20" t="str">
        <x:v>CH1.57O0.31N0.29S0.007</x:v>
      </x:c>
      <x:c r="C16" s="20" t="n">
        <x:v>1</x:v>
      </x:c>
      <x:c r="D16" s="20" t="n">
        <x:v>1.57</x:v>
      </x:c>
      <x:c r="E16" s="20" t="n">
        <x:v>0.31</x:v>
      </x:c>
      <x:c r="F16" s="20" t="n">
        <x:v>0.29</x:v>
      </x:c>
      <x:c r="G16" s="20" t="n">
        <x:v>0.007</x:v>
      </x:c>
      <x:c r="H16" s="20" t="str">
        <x:v>protein</x:v>
      </x:c>
      <x:c r="I16" s="20" t="str">
        <x:v>TRUE</x:v>
      </x:c>
      <x:c r="J16" s="20" t="str">
        <x:v>initial database</x:v>
      </x:c>
      <x:c r="K16" s="20" t="str">
        <x:v>TRUE</x:v>
      </x:c>
    </x:row>
    <x:row r="17">
      <x:c r="A17" s="20" t="str">
        <x:v>LIGNIN_GENERIC</x:v>
      </x:c>
      <x:c r="B17" s="20" t="str">
        <x:v>C7.3H13.9O1.3</x:v>
      </x:c>
      <x:c r="C17" s="20" t="n">
        <x:v>7.3</x:v>
      </x:c>
      <x:c r="D17" s="20" t="n">
        <x:v>13.9</x:v>
      </x:c>
      <x:c r="E17" s="20" t="n">
        <x:v>1.3</x:v>
      </x:c>
      <x:c r="F17" s="20" t="n">
        <x:v>0</x:v>
      </x:c>
      <x:c r="G17" s="20" t="n">
        <x:v>0</x:v>
      </x:c>
      <x:c r="H17" s="20" t="str">
        <x:v>lignin</x:v>
      </x:c>
      <x:c r="I17" s="20" t="str">
        <x:v>FALSE</x:v>
      </x:c>
      <x:c r="J17" s="20" t="str">
        <x:v>initial database</x:v>
      </x:c>
      <x:c r="K17" s="20" t="str">
        <x:v>TRUE</x:v>
      </x:c>
    </x:row>
    <x:row r="18">
      <x:c r="A18" s="20" t="str">
        <x:v>BIOMASS_GENERIC</x:v>
      </x:c>
      <x:c r="B18" s="20" t="str">
        <x:v>CH1.64O0.39N0.23S0.0035</x:v>
      </x:c>
      <x:c r="C18" s="20" t="n">
        <x:v>1</x:v>
      </x:c>
      <x:c r="D18" s="20" t="n">
        <x:v>1.64</x:v>
      </x:c>
      <x:c r="E18" s="20" t="n">
        <x:v>0.39</x:v>
      </x:c>
      <x:c r="F18" s="20" t="n">
        <x:v>0.23</x:v>
      </x:c>
      <x:c r="G18" s="20" t="n">
        <x:v>0.0035</x:v>
      </x:c>
      <x:c r="H18" s="20" t="str">
        <x:v>microbial biomass</x:v>
      </x:c>
      <x:c r="I18" s="20" t="str">
        <x:v>FALSE</x:v>
      </x:c>
      <x:c r="J18" s="20" t="str">
        <x:v>initial database</x:v>
      </x:c>
      <x:c r="K18" s="20" t="str">
        <x:v>TRUE</x:v>
      </x:c>
    </x:row>
  </x:sheetData>
  <x:mergeCells>
    <x:mergeCell ref="A1:K1"/>
  </x:mergeCells>
  <x:dataValidations count="2">
    <x:dataValidation type="list" sqref="I4:I200">
      <x:formula1>"TRUE,FALSE"</x:formula1>
    </x:dataValidation>
    <x:dataValidation type="list" sqref="K4:K2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6" hidden="0" customWidth="1"/>
    <x:col min="7" max="7" width="18" hidden="0" customWidth="1"/>
    <x:col min="8" max="8" width="14" hidden="0" customWidth="1"/>
    <x:col min="9" max="9" width="18" hidden="0" customWidth="1"/>
    <x:col min="10" max="10" width="14" hidden="0" customWidth="1"/>
    <x:col min="11" max="11" width="18" hidden="0" customWidth="1"/>
    <x:col min="12" max="12" width="20" hidden="0" customWidth="1"/>
    <x:col min="13" max="13" width="32" hidden="0" customWidth="1"/>
    <x:col min="14" max="14" width="12" hidden="0" customWidth="1"/>
  </x:cols>
  <x:sheetData>
    <x:row r="1">
      <x:c r="A1" s="12" t="str">
        <x:v>BioPot-Gas v0.5 | Validação Experimental</x:v>
      </x:c>
      <x:c r="B1" s="12" t="str"/>
      <x:c r="C1" s="12" t="str"/>
      <x:c r="D1" s="12" t="str"/>
      <x:c r="E1" s="12" t="str"/>
      <x:c r="F1" s="12" t="str"/>
      <x:c r="G1" s="12" t="str"/>
      <x:c r="H1" s="12" t="str"/>
      <x:c r="I1" s="12" t="str"/>
      <x:c r="J1" s="12" t="str"/>
      <x:c r="K1" s="12" t="str"/>
      <x:c r="L1" s="12" t="str"/>
      <x:c r="M1" s="12" t="str"/>
      <x:c r="N1" s="12" t="str"/>
    </x:row>
    <x:row r="3">
      <x:c r="A3" s="30" t="str">
        <x:v>sample_id</x:v>
      </x:c>
      <x:c r="B3" s="30" t="str">
        <x:v>experimental_CH4_Nm3</x:v>
      </x:c>
      <x:c r="C3" s="30" t="str">
        <x:v>experimental_biogas_Nm3</x:v>
      </x:c>
      <x:c r="D3" s="30" t="str">
        <x:v>experimental_CH4_percent</x:v>
      </x:c>
      <x:c r="E3" s="30" t="str">
        <x:v>substrate_mass_kg</x:v>
      </x:c>
      <x:c r="F3" s="30" t="str">
        <x:v>dry_mass_kg</x:v>
      </x:c>
      <x:c r="G3" s="30" t="str">
        <x:v>volatile_solids_kg</x:v>
      </x:c>
      <x:c r="H3" s="30" t="str">
        <x:v>COD_kg</x:v>
      </x:c>
      <x:c r="I3" s="30" t="str">
        <x:v>experiment_duration_days</x:v>
      </x:c>
      <x:c r="J3" s="30" t="str">
        <x:v>temperature_C</x:v>
      </x:c>
      <x:c r="K3" s="30" t="str">
        <x:v>theoretical_CH4_Nm3</x:v>
      </x:c>
      <x:c r="L3" s="30" t="str">
        <x:v>theoretical_biogas_Nm3</x:v>
      </x:c>
      <x:c r="M3" s="30" t="str">
        <x:v>notes</x:v>
      </x:c>
      <x:c r="N3" s="30" t="str">
        <x:v>active_row</x:v>
      </x:c>
    </x:row>
    <x:row r="4">
      <x:c r="A4" s="20" t="str">
        <x:v>Sample_01</x:v>
      </x:c>
      <x:c r="B4" s="20" t="str"/>
      <x:c r="C4" s="20" t="str"/>
      <x:c r="D4" s="20" t="str"/>
      <x:c r="E4" s="20" t="str"/>
      <x:c r="F4" s="20" t="str"/>
      <x:c r="G4" s="20" t="str"/>
      <x:c r="H4" s="20" t="str"/>
      <x:c r="I4" s="20" t="str"/>
      <x:c r="J4" s="20" t="str"/>
      <x:c r="K4" s="20" t="str"/>
      <x:c r="L4" s="20" t="str"/>
      <x:c r="M4" s="20" t="str">
        <x:v>Fill experimental data after calculation</x:v>
      </x:c>
      <x:c r="N4" s="20" t="str">
        <x:v>TRUE</x:v>
      </x:c>
    </x:row>
    <x:row r="5">
      <x:c r="A5" s="20" t="str">
        <x:v>Sample_02</x:v>
      </x:c>
      <x:c r="B5" s="20" t="str"/>
      <x:c r="C5" s="20" t="str"/>
      <x:c r="D5" s="20" t="str"/>
      <x:c r="E5" s="20" t="str"/>
      <x:c r="F5" s="20" t="str"/>
      <x:c r="G5" s="20" t="str"/>
      <x:c r="H5" s="20" t="str"/>
      <x:c r="I5" s="20" t="str"/>
      <x:c r="J5" s="20" t="str"/>
      <x:c r="K5" s="20" t="str"/>
      <x:c r="L5" s="20" t="str"/>
      <x:c r="M5" s="20" t="str"/>
      <x:c r="N5" s="20" t="str">
        <x:v>FALSE</x:v>
      </x:c>
    </x:row>
    <x:row r="6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</x:row>
    <x:row r="8">
      <x:c r="A8" s="18" t="str">
        <x:v>Campos calculados pelo software</x:v>
      </x:c>
      <x:c r="B8" s="18" t="str"/>
      <x:c r="C8" s="18" t="str"/>
      <x:c r="D8" s="18" t="str"/>
      <x:c r="E8" s="18" t="str"/>
      <x:c r="F8" s="18" t="str"/>
      <x:c r="G8" s="18" t="str"/>
      <x:c r="H8" s="18" t="str"/>
      <x:c r="I8" s="18" t="str"/>
      <x:c r="J8" s="18" t="str"/>
      <x:c r="K8" s="20"/>
      <x:c r="L8" s="20"/>
      <x:c r="M8" s="20"/>
      <x:c r="N8" s="20"/>
    </x:row>
    <x:row r="9">
      <x:c r="A9" s="30" t="str">
        <x:v>sample_id</x:v>
      </x:c>
      <x:c r="B9" s="30" t="str">
        <x:v>absolute_error_CH4_Nm3</x:v>
      </x:c>
      <x:c r="C9" s="30" t="str">
        <x:v>relative_error_CH4_percent</x:v>
      </x:c>
      <x:c r="D9" s="30" t="str">
        <x:v>conversion_efficiency_percent</x:v>
      </x:c>
      <x:c r="E9" s="30" t="str">
        <x:v>absolute_error_biogas_Nm3</x:v>
      </x:c>
      <x:c r="F9" s="30" t="str">
        <x:v>relative_error_biogas_percent</x:v>
      </x:c>
      <x:c r="G9" s="30" t="str">
        <x:v>CH4_percent_deviation</x:v>
      </x:c>
      <x:c r="H9" s="30" t="str">
        <x:v>validation_status</x:v>
      </x:c>
      <x:c r="I9" s="30" t="str">
        <x:v>warning</x:v>
      </x:c>
      <x:c r="J9" s="30" t="str">
        <x:v>notes</x:v>
      </x:c>
      <x:c r="K9" s="20"/>
      <x:c r="L9" s="20"/>
      <x:c r="M9" s="20"/>
      <x:c r="N9" s="20"/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</x:row>
    <x:row r="101">
      <x:c r="A101" s="20"/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0"/>
      <x:c r="L101" s="20"/>
      <x:c r="M101" s="20"/>
      <x:c r="N101" s="20"/>
    </x:row>
    <x:row r="102">
      <x:c r="A102" s="20"/>
      <x:c r="B102" s="20"/>
      <x:c r="C102" s="20"/>
      <x:c r="D102" s="20"/>
      <x:c r="E102" s="20"/>
      <x:c r="F102" s="20"/>
      <x:c r="G102" s="20"/>
      <x:c r="H102" s="20"/>
      <x:c r="I102" s="20"/>
      <x:c r="J102" s="20"/>
      <x:c r="K102" s="20"/>
      <x:c r="L102" s="20"/>
      <x:c r="M102" s="20"/>
      <x:c r="N102" s="20"/>
    </x:row>
    <x:row r="103">
      <x:c r="A103" s="20"/>
      <x:c r="B103" s="20"/>
      <x:c r="C103" s="20"/>
      <x:c r="D103" s="20"/>
      <x:c r="E103" s="20"/>
      <x:c r="F103" s="20"/>
      <x:c r="G103" s="20"/>
      <x:c r="H103" s="20"/>
      <x:c r="I103" s="20"/>
      <x:c r="J103" s="20"/>
      <x:c r="K103" s="20"/>
      <x:c r="L103" s="20"/>
      <x:c r="M103" s="20"/>
      <x:c r="N103" s="20"/>
    </x:row>
    <x:row r="104">
      <x:c r="A104" s="20"/>
      <x:c r="B104" s="20"/>
      <x:c r="C104" s="20"/>
      <x:c r="D104" s="20"/>
      <x:c r="E104" s="20"/>
      <x:c r="F104" s="20"/>
      <x:c r="G104" s="20"/>
      <x:c r="H104" s="20"/>
      <x:c r="I104" s="20"/>
      <x:c r="J104" s="20"/>
      <x:c r="K104" s="20"/>
      <x:c r="L104" s="20"/>
      <x:c r="M104" s="20"/>
      <x:c r="N104" s="20"/>
    </x:row>
    <x:row r="105">
      <x:c r="A105" s="20"/>
      <x:c r="B105" s="20"/>
      <x:c r="C105" s="20"/>
      <x:c r="D105" s="20"/>
      <x:c r="E105" s="20"/>
      <x:c r="F105" s="20"/>
      <x:c r="G105" s="20"/>
      <x:c r="H105" s="20"/>
      <x:c r="I105" s="20"/>
      <x:c r="J105" s="20"/>
      <x:c r="K105" s="20"/>
      <x:c r="L105" s="20"/>
      <x:c r="M105" s="20"/>
      <x:c r="N105" s="20"/>
    </x:row>
    <x:row r="106">
      <x:c r="A106" s="20"/>
      <x:c r="B106" s="20"/>
      <x:c r="C106" s="20"/>
      <x:c r="D106" s="20"/>
      <x:c r="E106" s="20"/>
      <x:c r="F106" s="20"/>
      <x:c r="G106" s="20"/>
      <x:c r="H106" s="20"/>
      <x:c r="I106" s="20"/>
      <x:c r="J106" s="20"/>
      <x:c r="K106" s="20"/>
      <x:c r="L106" s="20"/>
      <x:c r="M106" s="20"/>
      <x:c r="N106" s="20"/>
    </x:row>
    <x:row r="107">
      <x:c r="A107" s="20"/>
      <x:c r="B107" s="20"/>
      <x:c r="C107" s="20"/>
      <x:c r="D107" s="20"/>
      <x:c r="E107" s="20"/>
      <x:c r="F107" s="20"/>
      <x:c r="G107" s="20"/>
      <x:c r="H107" s="20"/>
      <x:c r="I107" s="20"/>
      <x:c r="J107" s="20"/>
      <x:c r="K107" s="20"/>
      <x:c r="L107" s="20"/>
      <x:c r="M107" s="20"/>
      <x:c r="N107" s="20"/>
    </x:row>
    <x:row r="108">
      <x:c r="A108" s="20"/>
      <x:c r="B108" s="20"/>
      <x:c r="C108" s="20"/>
      <x:c r="D108" s="20"/>
      <x:c r="E108" s="20"/>
      <x:c r="F108" s="20"/>
      <x:c r="G108" s="20"/>
      <x:c r="H108" s="20"/>
      <x:c r="I108" s="20"/>
      <x:c r="J108" s="20"/>
      <x:c r="K108" s="20"/>
      <x:c r="L108" s="20"/>
      <x:c r="M108" s="20"/>
      <x:c r="N108" s="20"/>
    </x:row>
    <x:row r="109">
      <x:c r="A109" s="20"/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0"/>
      <x:c r="L109" s="20"/>
      <x:c r="M109" s="20"/>
      <x:c r="N109" s="20"/>
    </x:row>
    <x:row r="110">
      <x:c r="A110" s="20"/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0"/>
      <x:c r="L110" s="20"/>
      <x:c r="M110" s="20"/>
      <x:c r="N110" s="20"/>
    </x:row>
    <x:row r="111">
      <x:c r="A111" s="20"/>
      <x:c r="B111" s="20"/>
      <x:c r="C111" s="20"/>
      <x:c r="D111" s="20"/>
      <x:c r="E111" s="20"/>
      <x:c r="F111" s="20"/>
      <x:c r="G111" s="20"/>
      <x:c r="H111" s="20"/>
      <x:c r="I111" s="20"/>
      <x:c r="J111" s="20"/>
      <x:c r="K111" s="20"/>
      <x:c r="L111" s="20"/>
      <x:c r="M111" s="20"/>
      <x:c r="N111" s="20"/>
    </x:row>
    <x:row r="112">
      <x:c r="A112" s="20"/>
      <x:c r="B112" s="20"/>
      <x:c r="C112" s="20"/>
      <x:c r="D112" s="20"/>
      <x:c r="E112" s="20"/>
      <x:c r="F112" s="20"/>
      <x:c r="G112" s="20"/>
      <x:c r="H112" s="20"/>
      <x:c r="I112" s="20"/>
      <x:c r="J112" s="20"/>
      <x:c r="K112" s="20"/>
      <x:c r="L112" s="20"/>
      <x:c r="M112" s="20"/>
      <x:c r="N112" s="20"/>
    </x:row>
    <x:row r="113">
      <x:c r="A113" s="20"/>
      <x:c r="B113" s="20"/>
      <x:c r="C113" s="20"/>
      <x:c r="D113" s="20"/>
      <x:c r="E113" s="20"/>
      <x:c r="F113" s="20"/>
      <x:c r="G113" s="20"/>
      <x:c r="H113" s="20"/>
      <x:c r="I113" s="20"/>
      <x:c r="J113" s="20"/>
      <x:c r="K113" s="20"/>
      <x:c r="L113" s="20"/>
      <x:c r="M113" s="20"/>
      <x:c r="N113" s="20"/>
    </x:row>
    <x:row r="114">
      <x:c r="A114" s="20"/>
      <x:c r="B114" s="20"/>
      <x:c r="C114" s="20"/>
      <x:c r="D114" s="20"/>
      <x:c r="E114" s="20"/>
      <x:c r="F114" s="20"/>
      <x:c r="G114" s="20"/>
      <x:c r="H114" s="20"/>
      <x:c r="I114" s="20"/>
      <x:c r="J114" s="20"/>
      <x:c r="K114" s="20"/>
      <x:c r="L114" s="20"/>
      <x:c r="M114" s="20"/>
      <x:c r="N114" s="20"/>
    </x:row>
    <x:row r="115">
      <x:c r="A115" s="20"/>
      <x:c r="B115" s="20"/>
      <x:c r="C115" s="20"/>
      <x:c r="D115" s="20"/>
      <x:c r="E115" s="20"/>
      <x:c r="F115" s="20"/>
      <x:c r="G115" s="20"/>
      <x:c r="H115" s="20"/>
      <x:c r="I115" s="20"/>
      <x:c r="J115" s="20"/>
      <x:c r="K115" s="20"/>
      <x:c r="L115" s="20"/>
      <x:c r="M115" s="20"/>
      <x:c r="N115" s="20"/>
    </x:row>
    <x:row r="116">
      <x:c r="A116" s="20"/>
      <x:c r="B116" s="20"/>
      <x:c r="C116" s="20"/>
      <x:c r="D116" s="20"/>
      <x:c r="E116" s="20"/>
      <x:c r="F116" s="20"/>
      <x:c r="G116" s="20"/>
      <x:c r="H116" s="20"/>
      <x:c r="I116" s="20"/>
      <x:c r="J116" s="20"/>
      <x:c r="K116" s="20"/>
      <x:c r="L116" s="20"/>
      <x:c r="M116" s="20"/>
      <x:c r="N116" s="20"/>
    </x:row>
    <x:row r="117">
      <x:c r="A117" s="20"/>
      <x:c r="B117" s="20"/>
      <x:c r="C117" s="20"/>
      <x:c r="D117" s="20"/>
      <x:c r="E117" s="20"/>
      <x:c r="F117" s="20"/>
      <x:c r="G117" s="20"/>
      <x:c r="H117" s="20"/>
      <x:c r="I117" s="20"/>
      <x:c r="J117" s="20"/>
      <x:c r="K117" s="20"/>
      <x:c r="L117" s="20"/>
      <x:c r="M117" s="20"/>
      <x:c r="N117" s="20"/>
    </x:row>
    <x:row r="118">
      <x:c r="A118" s="20"/>
      <x:c r="B118" s="20"/>
      <x:c r="C118" s="20"/>
      <x:c r="D118" s="20"/>
      <x:c r="E118" s="20"/>
      <x:c r="F118" s="20"/>
      <x:c r="G118" s="20"/>
      <x:c r="H118" s="20"/>
      <x:c r="I118" s="20"/>
      <x:c r="J118" s="20"/>
      <x:c r="K118" s="20"/>
      <x:c r="L118" s="20"/>
      <x:c r="M118" s="20"/>
      <x:c r="N118" s="20"/>
    </x:row>
    <x:row r="119">
      <x:c r="A119" s="20"/>
      <x:c r="B119" s="20"/>
      <x:c r="C119" s="20"/>
      <x:c r="D119" s="20"/>
      <x:c r="E119" s="20"/>
      <x:c r="F119" s="20"/>
      <x:c r="G119" s="20"/>
      <x:c r="H119" s="20"/>
      <x:c r="I119" s="20"/>
      <x:c r="J119" s="20"/>
      <x:c r="K119" s="20"/>
      <x:c r="L119" s="20"/>
      <x:c r="M119" s="20"/>
      <x:c r="N119" s="20"/>
    </x:row>
    <x:row r="120">
      <x:c r="A120" s="20"/>
      <x:c r="B120" s="20"/>
      <x:c r="C120" s="20"/>
      <x:c r="D120" s="20"/>
      <x:c r="E120" s="20"/>
      <x:c r="F120" s="20"/>
      <x:c r="G120" s="20"/>
      <x:c r="H120" s="20"/>
      <x:c r="I120" s="20"/>
      <x:c r="J120" s="20"/>
      <x:c r="K120" s="20"/>
      <x:c r="L120" s="20"/>
      <x:c r="M120" s="20"/>
      <x:c r="N120" s="20"/>
    </x:row>
    <x:row r="121">
      <x:c r="A121" s="20"/>
      <x:c r="B121" s="20"/>
      <x:c r="C121" s="20"/>
      <x:c r="D121" s="20"/>
      <x:c r="E121" s="20"/>
      <x:c r="F121" s="20"/>
      <x:c r="G121" s="20"/>
      <x:c r="H121" s="20"/>
      <x:c r="I121" s="20"/>
      <x:c r="J121" s="20"/>
      <x:c r="K121" s="20"/>
      <x:c r="L121" s="20"/>
      <x:c r="M121" s="20"/>
      <x:c r="N121" s="20"/>
    </x:row>
    <x:row r="122">
      <x:c r="A122" s="20"/>
      <x:c r="B122" s="20"/>
      <x:c r="C122" s="20"/>
      <x:c r="D122" s="20"/>
      <x:c r="E122" s="20"/>
      <x:c r="F122" s="20"/>
      <x:c r="G122" s="20"/>
      <x:c r="H122" s="20"/>
      <x:c r="I122" s="20"/>
      <x:c r="J122" s="20"/>
      <x:c r="K122" s="20"/>
      <x:c r="L122" s="20"/>
      <x:c r="M122" s="20"/>
      <x:c r="N122" s="20"/>
    </x:row>
    <x:row r="123">
      <x:c r="A123" s="20"/>
      <x:c r="B123" s="20"/>
      <x:c r="C123" s="20"/>
      <x:c r="D123" s="20"/>
      <x:c r="E123" s="20"/>
      <x:c r="F123" s="20"/>
      <x:c r="G123" s="20"/>
      <x:c r="H123" s="20"/>
      <x:c r="I123" s="20"/>
      <x:c r="J123" s="20"/>
      <x:c r="K123" s="20"/>
      <x:c r="L123" s="20"/>
      <x:c r="M123" s="20"/>
      <x:c r="N123" s="20"/>
    </x:row>
    <x:row r="124">
      <x:c r="A124" s="20"/>
      <x:c r="B124" s="20"/>
      <x:c r="C124" s="20"/>
      <x:c r="D124" s="20"/>
      <x:c r="E124" s="20"/>
      <x:c r="F124" s="20"/>
      <x:c r="G124" s="20"/>
      <x:c r="H124" s="20"/>
      <x:c r="I124" s="20"/>
      <x:c r="J124" s="20"/>
      <x:c r="K124" s="20"/>
      <x:c r="L124" s="20"/>
      <x:c r="M124" s="20"/>
      <x:c r="N124" s="20"/>
    </x:row>
    <x:row r="125">
      <x:c r="A125" s="20"/>
      <x:c r="B125" s="20"/>
      <x:c r="C125" s="20"/>
      <x:c r="D125" s="20"/>
      <x:c r="E125" s="20"/>
      <x:c r="F125" s="20"/>
      <x:c r="G125" s="20"/>
      <x:c r="H125" s="20"/>
      <x:c r="I125" s="20"/>
      <x:c r="J125" s="20"/>
      <x:c r="K125" s="20"/>
      <x:c r="L125" s="20"/>
      <x:c r="M125" s="20"/>
      <x:c r="N125" s="20"/>
    </x:row>
    <x:row r="126">
      <x:c r="A126" s="20"/>
      <x:c r="B126" s="20"/>
      <x:c r="C126" s="20"/>
      <x:c r="D126" s="20"/>
      <x:c r="E126" s="20"/>
      <x:c r="F126" s="20"/>
      <x:c r="G126" s="20"/>
      <x:c r="H126" s="20"/>
      <x:c r="I126" s="20"/>
      <x:c r="J126" s="20"/>
      <x:c r="K126" s="20"/>
      <x:c r="L126" s="20"/>
      <x:c r="M126" s="20"/>
      <x:c r="N126" s="20"/>
    </x:row>
    <x:row r="127">
      <x:c r="A127" s="20"/>
      <x:c r="B127" s="20"/>
      <x:c r="C127" s="20"/>
      <x:c r="D127" s="20"/>
      <x:c r="E127" s="20"/>
      <x:c r="F127" s="20"/>
      <x:c r="G127" s="20"/>
      <x:c r="H127" s="20"/>
      <x:c r="I127" s="20"/>
      <x:c r="J127" s="20"/>
      <x:c r="K127" s="20"/>
      <x:c r="L127" s="20"/>
      <x:c r="M127" s="20"/>
      <x:c r="N127" s="20"/>
    </x:row>
    <x:row r="128">
      <x:c r="A128" s="20"/>
      <x:c r="B128" s="20"/>
      <x:c r="C128" s="20"/>
      <x:c r="D128" s="20"/>
      <x:c r="E128" s="20"/>
      <x:c r="F128" s="20"/>
      <x:c r="G128" s="20"/>
      <x:c r="H128" s="20"/>
      <x:c r="I128" s="20"/>
      <x:c r="J128" s="20"/>
      <x:c r="K128" s="20"/>
      <x:c r="L128" s="20"/>
      <x:c r="M128" s="20"/>
      <x:c r="N128" s="20"/>
    </x:row>
    <x:row r="129">
      <x:c r="A129" s="20"/>
      <x:c r="B129" s="20"/>
      <x:c r="C129" s="20"/>
      <x:c r="D129" s="20"/>
      <x:c r="E129" s="20"/>
      <x:c r="F129" s="20"/>
      <x:c r="G129" s="20"/>
      <x:c r="H129" s="20"/>
      <x:c r="I129" s="20"/>
      <x:c r="J129" s="20"/>
      <x:c r="K129" s="20"/>
      <x:c r="L129" s="20"/>
      <x:c r="M129" s="20"/>
      <x:c r="N129" s="20"/>
    </x:row>
    <x:row r="130">
      <x:c r="A130" s="20"/>
      <x:c r="B130" s="20"/>
      <x:c r="C130" s="20"/>
      <x:c r="D130" s="20"/>
      <x:c r="E130" s="20"/>
      <x:c r="F130" s="20"/>
      <x:c r="G130" s="20"/>
      <x:c r="H130" s="20"/>
      <x:c r="I130" s="20"/>
      <x:c r="J130" s="20"/>
      <x:c r="K130" s="20"/>
      <x:c r="L130" s="20"/>
      <x:c r="M130" s="20"/>
      <x:c r="N130" s="20"/>
    </x:row>
    <x:row r="131">
      <x:c r="A131" s="20"/>
      <x:c r="B131" s="20"/>
      <x:c r="C131" s="20"/>
      <x:c r="D131" s="20"/>
      <x:c r="E131" s="20"/>
      <x:c r="F131" s="20"/>
      <x:c r="G131" s="20"/>
      <x:c r="H131" s="20"/>
      <x:c r="I131" s="20"/>
      <x:c r="J131" s="20"/>
      <x:c r="K131" s="20"/>
      <x:c r="L131" s="20"/>
      <x:c r="M131" s="20"/>
      <x:c r="N131" s="20"/>
    </x:row>
    <x:row r="132">
      <x:c r="A132" s="20"/>
      <x:c r="B132" s="20"/>
      <x:c r="C132" s="20"/>
      <x:c r="D132" s="20"/>
      <x:c r="E132" s="20"/>
      <x:c r="F132" s="20"/>
      <x:c r="G132" s="20"/>
      <x:c r="H132" s="20"/>
      <x:c r="I132" s="20"/>
      <x:c r="J132" s="20"/>
      <x:c r="K132" s="20"/>
      <x:c r="L132" s="20"/>
      <x:c r="M132" s="20"/>
      <x:c r="N132" s="20"/>
    </x:row>
    <x:row r="133">
      <x:c r="A133" s="20"/>
      <x:c r="B133" s="20"/>
      <x:c r="C133" s="20"/>
      <x:c r="D133" s="20"/>
      <x:c r="E133" s="20"/>
      <x:c r="F133" s="20"/>
      <x:c r="G133" s="20"/>
      <x:c r="H133" s="20"/>
      <x:c r="I133" s="20"/>
      <x:c r="J133" s="20"/>
      <x:c r="K133" s="20"/>
      <x:c r="L133" s="20"/>
      <x:c r="M133" s="20"/>
      <x:c r="N133" s="20"/>
    </x:row>
    <x:row r="134">
      <x:c r="A134" s="20"/>
      <x:c r="B134" s="20"/>
      <x:c r="C134" s="20"/>
      <x:c r="D134" s="20"/>
      <x:c r="E134" s="20"/>
      <x:c r="F134" s="20"/>
      <x:c r="G134" s="20"/>
      <x:c r="H134" s="20"/>
      <x:c r="I134" s="20"/>
      <x:c r="J134" s="20"/>
      <x:c r="K134" s="20"/>
      <x:c r="L134" s="20"/>
      <x:c r="M134" s="20"/>
      <x:c r="N134" s="20"/>
    </x:row>
    <x:row r="135">
      <x:c r="A135" s="20"/>
      <x:c r="B135" s="20"/>
      <x:c r="C135" s="20"/>
      <x:c r="D135" s="20"/>
      <x:c r="E135" s="20"/>
      <x:c r="F135" s="20"/>
      <x:c r="G135" s="20"/>
      <x:c r="H135" s="20"/>
      <x:c r="I135" s="20"/>
      <x:c r="J135" s="20"/>
      <x:c r="K135" s="20"/>
      <x:c r="L135" s="20"/>
      <x:c r="M135" s="20"/>
      <x:c r="N135" s="20"/>
    </x:row>
    <x:row r="136">
      <x:c r="A136" s="20"/>
      <x:c r="B136" s="20"/>
      <x:c r="C136" s="20"/>
      <x:c r="D136" s="20"/>
      <x:c r="E136" s="20"/>
      <x:c r="F136" s="20"/>
      <x:c r="G136" s="20"/>
      <x:c r="H136" s="20"/>
      <x:c r="I136" s="20"/>
      <x:c r="J136" s="20"/>
      <x:c r="K136" s="20"/>
      <x:c r="L136" s="20"/>
      <x:c r="M136" s="20"/>
      <x:c r="N136" s="20"/>
    </x:row>
    <x:row r="137">
      <x:c r="A137" s="20"/>
      <x:c r="B137" s="20"/>
      <x:c r="C137" s="20"/>
      <x:c r="D137" s="20"/>
      <x:c r="E137" s="20"/>
      <x:c r="F137" s="20"/>
      <x:c r="G137" s="20"/>
      <x:c r="H137" s="20"/>
      <x:c r="I137" s="20"/>
      <x:c r="J137" s="20"/>
      <x:c r="K137" s="20"/>
      <x:c r="L137" s="20"/>
      <x:c r="M137" s="20"/>
      <x:c r="N137" s="20"/>
    </x:row>
    <x:row r="138">
      <x:c r="A138" s="20"/>
      <x:c r="B138" s="20"/>
      <x:c r="C138" s="20"/>
      <x:c r="D138" s="20"/>
      <x:c r="E138" s="20"/>
      <x:c r="F138" s="20"/>
      <x:c r="G138" s="20"/>
      <x:c r="H138" s="20"/>
      <x:c r="I138" s="20"/>
      <x:c r="J138" s="20"/>
      <x:c r="K138" s="20"/>
      <x:c r="L138" s="20"/>
      <x:c r="M138" s="20"/>
      <x:c r="N138" s="20"/>
    </x:row>
    <x:row r="139">
      <x:c r="A139" s="20"/>
      <x:c r="B139" s="20"/>
      <x:c r="C139" s="20"/>
      <x:c r="D139" s="20"/>
      <x:c r="E139" s="20"/>
      <x:c r="F139" s="20"/>
      <x:c r="G139" s="20"/>
      <x:c r="H139" s="20"/>
      <x:c r="I139" s="20"/>
      <x:c r="J139" s="20"/>
      <x:c r="K139" s="20"/>
      <x:c r="L139" s="20"/>
      <x:c r="M139" s="20"/>
      <x:c r="N139" s="20"/>
    </x:row>
    <x:row r="140">
      <x:c r="A140" s="20"/>
      <x:c r="B140" s="20"/>
      <x:c r="C140" s="20"/>
      <x:c r="D140" s="20"/>
      <x:c r="E140" s="20"/>
      <x:c r="F140" s="20"/>
      <x:c r="G140" s="20"/>
      <x:c r="H140" s="20"/>
      <x:c r="I140" s="20"/>
      <x:c r="J140" s="20"/>
      <x:c r="K140" s="20"/>
      <x:c r="L140" s="20"/>
      <x:c r="M140" s="20"/>
      <x:c r="N140" s="20"/>
    </x:row>
    <x:row r="141">
      <x:c r="A141" s="20"/>
      <x:c r="B141" s="20"/>
      <x:c r="C141" s="20"/>
      <x:c r="D141" s="20"/>
      <x:c r="E141" s="20"/>
      <x:c r="F141" s="20"/>
      <x:c r="G141" s="20"/>
      <x:c r="H141" s="20"/>
      <x:c r="I141" s="20"/>
      <x:c r="J141" s="20"/>
      <x:c r="K141" s="20"/>
      <x:c r="L141" s="20"/>
      <x:c r="M141" s="20"/>
      <x:c r="N141" s="20"/>
    </x:row>
    <x:row r="142">
      <x:c r="A142" s="20"/>
      <x:c r="B142" s="20"/>
      <x:c r="C142" s="20"/>
      <x:c r="D142" s="20"/>
      <x:c r="E142" s="20"/>
      <x:c r="F142" s="20"/>
      <x:c r="G142" s="20"/>
      <x:c r="H142" s="20"/>
      <x:c r="I142" s="20"/>
      <x:c r="J142" s="20"/>
      <x:c r="K142" s="20"/>
      <x:c r="L142" s="20"/>
      <x:c r="M142" s="20"/>
      <x:c r="N142" s="20"/>
    </x:row>
    <x:row r="143">
      <x:c r="A143" s="20"/>
      <x:c r="B143" s="20"/>
      <x:c r="C143" s="20"/>
      <x:c r="D143" s="20"/>
      <x:c r="E143" s="20"/>
      <x:c r="F143" s="20"/>
      <x:c r="G143" s="20"/>
      <x:c r="H143" s="20"/>
      <x:c r="I143" s="20"/>
      <x:c r="J143" s="20"/>
      <x:c r="K143" s="20"/>
      <x:c r="L143" s="20"/>
      <x:c r="M143" s="20"/>
      <x:c r="N143" s="20"/>
    </x:row>
    <x:row r="144">
      <x:c r="A144" s="20"/>
      <x:c r="B144" s="20"/>
      <x:c r="C144" s="20"/>
      <x:c r="D144" s="20"/>
      <x:c r="E144" s="20"/>
      <x:c r="F144" s="20"/>
      <x:c r="G144" s="20"/>
      <x:c r="H144" s="20"/>
      <x:c r="I144" s="20"/>
      <x:c r="J144" s="20"/>
      <x:c r="K144" s="20"/>
      <x:c r="L144" s="20"/>
      <x:c r="M144" s="20"/>
      <x:c r="N144" s="20"/>
    </x:row>
    <x:row r="145">
      <x:c r="A145" s="20"/>
      <x:c r="B145" s="20"/>
      <x:c r="C145" s="20"/>
      <x:c r="D145" s="20"/>
      <x:c r="E145" s="20"/>
      <x:c r="F145" s="20"/>
      <x:c r="G145" s="20"/>
      <x:c r="H145" s="20"/>
      <x:c r="I145" s="20"/>
      <x:c r="J145" s="20"/>
      <x:c r="K145" s="20"/>
      <x:c r="L145" s="20"/>
      <x:c r="M145" s="20"/>
      <x:c r="N145" s="20"/>
    </x:row>
    <x:row r="146">
      <x:c r="A146" s="20"/>
      <x:c r="B146" s="20"/>
      <x:c r="C146" s="20"/>
      <x:c r="D146" s="20"/>
      <x:c r="E146" s="20"/>
      <x:c r="F146" s="20"/>
      <x:c r="G146" s="20"/>
      <x:c r="H146" s="20"/>
      <x:c r="I146" s="20"/>
      <x:c r="J146" s="20"/>
      <x:c r="K146" s="20"/>
      <x:c r="L146" s="20"/>
      <x:c r="M146" s="20"/>
      <x:c r="N146" s="20"/>
    </x:row>
    <x:row r="147">
      <x:c r="A147" s="20"/>
      <x:c r="B147" s="20"/>
      <x:c r="C147" s="20"/>
      <x:c r="D147" s="20"/>
      <x:c r="E147" s="20"/>
      <x:c r="F147" s="20"/>
      <x:c r="G147" s="20"/>
      <x:c r="H147" s="20"/>
      <x:c r="I147" s="20"/>
      <x:c r="J147" s="20"/>
      <x:c r="K147" s="20"/>
      <x:c r="L147" s="20"/>
      <x:c r="M147" s="20"/>
      <x:c r="N147" s="20"/>
    </x:row>
    <x:row r="148">
      <x:c r="A148" s="20"/>
      <x:c r="B148" s="20"/>
      <x:c r="C148" s="20"/>
      <x:c r="D148" s="20"/>
      <x:c r="E148" s="20"/>
      <x:c r="F148" s="20"/>
      <x:c r="G148" s="20"/>
      <x:c r="H148" s="20"/>
      <x:c r="I148" s="20"/>
      <x:c r="J148" s="20"/>
      <x:c r="K148" s="20"/>
      <x:c r="L148" s="20"/>
      <x:c r="M148" s="20"/>
      <x:c r="N148" s="20"/>
    </x:row>
    <x:row r="149">
      <x:c r="A149" s="20"/>
      <x:c r="B149" s="20"/>
      <x:c r="C149" s="20"/>
      <x:c r="D149" s="20"/>
      <x:c r="E149" s="20"/>
      <x:c r="F149" s="20"/>
      <x:c r="G149" s="20"/>
      <x:c r="H149" s="20"/>
      <x:c r="I149" s="20"/>
      <x:c r="J149" s="20"/>
      <x:c r="K149" s="20"/>
      <x:c r="L149" s="20"/>
      <x:c r="M149" s="20"/>
      <x:c r="N149" s="20"/>
    </x:row>
    <x:row r="150">
      <x:c r="A150" s="20"/>
      <x:c r="B150" s="20"/>
      <x:c r="C150" s="20"/>
      <x:c r="D150" s="20"/>
      <x:c r="E150" s="20"/>
      <x:c r="F150" s="20"/>
      <x:c r="G150" s="20"/>
      <x:c r="H150" s="20"/>
      <x:c r="I150" s="20"/>
      <x:c r="J150" s="20"/>
      <x:c r="K150" s="20"/>
      <x:c r="L150" s="20"/>
      <x:c r="M150" s="20"/>
      <x:c r="N150" s="20"/>
    </x:row>
    <x:row r="151">
      <x:c r="A151" s="20"/>
      <x:c r="B151" s="20"/>
      <x:c r="C151" s="20"/>
      <x:c r="D151" s="20"/>
      <x:c r="E151" s="20"/>
      <x:c r="F151" s="20"/>
      <x:c r="G151" s="20"/>
      <x:c r="H151" s="20"/>
      <x:c r="I151" s="20"/>
      <x:c r="J151" s="20"/>
      <x:c r="K151" s="20"/>
      <x:c r="L151" s="20"/>
      <x:c r="M151" s="20"/>
      <x:c r="N151" s="20"/>
    </x:row>
    <x:row r="152">
      <x:c r="A152" s="20"/>
      <x:c r="B152" s="20"/>
      <x:c r="C152" s="20"/>
      <x:c r="D152" s="20"/>
      <x:c r="E152" s="20"/>
      <x:c r="F152" s="20"/>
      <x:c r="G152" s="20"/>
      <x:c r="H152" s="20"/>
      <x:c r="I152" s="20"/>
      <x:c r="J152" s="20"/>
      <x:c r="K152" s="20"/>
      <x:c r="L152" s="20"/>
      <x:c r="M152" s="20"/>
      <x:c r="N152" s="20"/>
    </x:row>
    <x:row r="153">
      <x:c r="A153" s="20"/>
      <x:c r="B153" s="20"/>
      <x:c r="C153" s="20"/>
      <x:c r="D153" s="20"/>
      <x:c r="E153" s="20"/>
      <x:c r="F153" s="20"/>
      <x:c r="G153" s="20"/>
      <x:c r="H153" s="20"/>
      <x:c r="I153" s="20"/>
      <x:c r="J153" s="20"/>
      <x:c r="K153" s="20"/>
      <x:c r="L153" s="20"/>
      <x:c r="M153" s="20"/>
      <x:c r="N153" s="20"/>
    </x:row>
    <x:row r="154">
      <x:c r="A154" s="20"/>
      <x:c r="B154" s="20"/>
      <x:c r="C154" s="20"/>
      <x:c r="D154" s="20"/>
      <x:c r="E154" s="20"/>
      <x:c r="F154" s="20"/>
      <x:c r="G154" s="20"/>
      <x:c r="H154" s="20"/>
      <x:c r="I154" s="20"/>
      <x:c r="J154" s="20"/>
      <x:c r="K154" s="20"/>
      <x:c r="L154" s="20"/>
      <x:c r="M154" s="20"/>
      <x:c r="N154" s="20"/>
    </x:row>
    <x:row r="155">
      <x:c r="A155" s="20"/>
      <x:c r="B155" s="20"/>
      <x:c r="C155" s="20"/>
      <x:c r="D155" s="20"/>
      <x:c r="E155" s="20"/>
      <x:c r="F155" s="20"/>
      <x:c r="G155" s="20"/>
      <x:c r="H155" s="20"/>
      <x:c r="I155" s="20"/>
      <x:c r="J155" s="20"/>
      <x:c r="K155" s="20"/>
      <x:c r="L155" s="20"/>
      <x:c r="M155" s="20"/>
      <x:c r="N155" s="20"/>
    </x:row>
    <x:row r="156">
      <x:c r="A156" s="20"/>
      <x:c r="B156" s="20"/>
      <x:c r="C156" s="20"/>
      <x:c r="D156" s="20"/>
      <x:c r="E156" s="20"/>
      <x:c r="F156" s="20"/>
      <x:c r="G156" s="20"/>
      <x:c r="H156" s="20"/>
      <x:c r="I156" s="20"/>
      <x:c r="J156" s="20"/>
      <x:c r="K156" s="20"/>
      <x:c r="L156" s="20"/>
      <x:c r="M156" s="20"/>
      <x:c r="N156" s="20"/>
    </x:row>
    <x:row r="157">
      <x:c r="A157" s="20"/>
      <x:c r="B157" s="20"/>
      <x:c r="C157" s="20"/>
      <x:c r="D157" s="20"/>
      <x:c r="E157" s="20"/>
      <x:c r="F157" s="20"/>
      <x:c r="G157" s="20"/>
      <x:c r="H157" s="20"/>
      <x:c r="I157" s="20"/>
      <x:c r="J157" s="20"/>
      <x:c r="K157" s="20"/>
      <x:c r="L157" s="20"/>
      <x:c r="M157" s="20"/>
      <x:c r="N157" s="20"/>
    </x:row>
    <x:row r="158">
      <x:c r="A158" s="20"/>
      <x:c r="B158" s="20"/>
      <x:c r="C158" s="20"/>
      <x:c r="D158" s="20"/>
      <x:c r="E158" s="20"/>
      <x:c r="F158" s="20"/>
      <x:c r="G158" s="20"/>
      <x:c r="H158" s="20"/>
      <x:c r="I158" s="20"/>
      <x:c r="J158" s="20"/>
      <x:c r="K158" s="20"/>
      <x:c r="L158" s="20"/>
      <x:c r="M158" s="20"/>
      <x:c r="N158" s="20"/>
    </x:row>
    <x:row r="159">
      <x:c r="A159" s="20"/>
      <x:c r="B159" s="20"/>
      <x:c r="C159" s="20"/>
      <x:c r="D159" s="20"/>
      <x:c r="E159" s="20"/>
      <x:c r="F159" s="20"/>
      <x:c r="G159" s="20"/>
      <x:c r="H159" s="20"/>
      <x:c r="I159" s="20"/>
      <x:c r="J159" s="20"/>
      <x:c r="K159" s="20"/>
      <x:c r="L159" s="20"/>
      <x:c r="M159" s="20"/>
      <x:c r="N159" s="20"/>
    </x:row>
    <x:row r="160">
      <x:c r="A160" s="20"/>
      <x:c r="B160" s="20"/>
      <x:c r="C160" s="20"/>
      <x:c r="D160" s="20"/>
      <x:c r="E160" s="20"/>
      <x:c r="F160" s="20"/>
      <x:c r="G160" s="20"/>
      <x:c r="H160" s="20"/>
      <x:c r="I160" s="20"/>
      <x:c r="J160" s="20"/>
      <x:c r="K160" s="20"/>
      <x:c r="L160" s="20"/>
      <x:c r="M160" s="20"/>
      <x:c r="N160" s="20"/>
    </x:row>
    <x:row r="161">
      <x:c r="A161" s="20"/>
      <x:c r="B161" s="20"/>
      <x:c r="C161" s="20"/>
      <x:c r="D161" s="20"/>
      <x:c r="E161" s="20"/>
      <x:c r="F161" s="20"/>
      <x:c r="G161" s="20"/>
      <x:c r="H161" s="20"/>
      <x:c r="I161" s="20"/>
      <x:c r="J161" s="20"/>
      <x:c r="K161" s="20"/>
      <x:c r="L161" s="20"/>
      <x:c r="M161" s="20"/>
      <x:c r="N161" s="20"/>
    </x:row>
    <x:row r="162">
      <x:c r="A162" s="20"/>
      <x:c r="B162" s="20"/>
      <x:c r="C162" s="20"/>
      <x:c r="D162" s="20"/>
      <x:c r="E162" s="20"/>
      <x:c r="F162" s="20"/>
      <x:c r="G162" s="20"/>
      <x:c r="H162" s="20"/>
      <x:c r="I162" s="20"/>
      <x:c r="J162" s="20"/>
      <x:c r="K162" s="20"/>
      <x:c r="L162" s="20"/>
      <x:c r="M162" s="20"/>
      <x:c r="N162" s="20"/>
    </x:row>
    <x:row r="163">
      <x:c r="A163" s="20"/>
      <x:c r="B163" s="20"/>
      <x:c r="C163" s="20"/>
      <x:c r="D163" s="20"/>
      <x:c r="E163" s="20"/>
      <x:c r="F163" s="20"/>
      <x:c r="G163" s="20"/>
      <x:c r="H163" s="20"/>
      <x:c r="I163" s="20"/>
      <x:c r="J163" s="20"/>
      <x:c r="K163" s="20"/>
      <x:c r="L163" s="20"/>
      <x:c r="M163" s="20"/>
      <x:c r="N163" s="20"/>
    </x:row>
    <x:row r="164">
      <x:c r="A164" s="20"/>
      <x:c r="B164" s="20"/>
      <x:c r="C164" s="20"/>
      <x:c r="D164" s="20"/>
      <x:c r="E164" s="20"/>
      <x:c r="F164" s="20"/>
      <x:c r="G164" s="20"/>
      <x:c r="H164" s="20"/>
      <x:c r="I164" s="20"/>
      <x:c r="J164" s="20"/>
      <x:c r="K164" s="20"/>
      <x:c r="L164" s="20"/>
      <x:c r="M164" s="20"/>
      <x:c r="N164" s="20"/>
    </x:row>
    <x:row r="165">
      <x:c r="A165" s="20"/>
      <x:c r="B165" s="20"/>
      <x:c r="C165" s="20"/>
      <x:c r="D165" s="20"/>
      <x:c r="E165" s="20"/>
      <x:c r="F165" s="20"/>
      <x:c r="G165" s="20"/>
      <x:c r="H165" s="20"/>
      <x:c r="I165" s="20"/>
      <x:c r="J165" s="20"/>
      <x:c r="K165" s="20"/>
      <x:c r="L165" s="20"/>
      <x:c r="M165" s="20"/>
      <x:c r="N165" s="20"/>
    </x:row>
    <x:row r="166">
      <x:c r="A166" s="20"/>
      <x:c r="B166" s="20"/>
      <x:c r="C166" s="20"/>
      <x:c r="D166" s="20"/>
      <x:c r="E166" s="20"/>
      <x:c r="F166" s="20"/>
      <x:c r="G166" s="20"/>
      <x:c r="H166" s="20"/>
      <x:c r="I166" s="20"/>
      <x:c r="J166" s="20"/>
      <x:c r="K166" s="20"/>
      <x:c r="L166" s="20"/>
      <x:c r="M166" s="20"/>
      <x:c r="N166" s="20"/>
    </x:row>
    <x:row r="167">
      <x:c r="A167" s="20"/>
      <x:c r="B167" s="20"/>
      <x:c r="C167" s="20"/>
      <x:c r="D167" s="20"/>
      <x:c r="E167" s="20"/>
      <x:c r="F167" s="20"/>
      <x:c r="G167" s="20"/>
      <x:c r="H167" s="20"/>
      <x:c r="I167" s="20"/>
      <x:c r="J167" s="20"/>
      <x:c r="K167" s="20"/>
      <x:c r="L167" s="20"/>
      <x:c r="M167" s="20"/>
      <x:c r="N167" s="20"/>
    </x:row>
    <x:row r="168">
      <x:c r="A168" s="20"/>
      <x:c r="B168" s="20"/>
      <x:c r="C168" s="20"/>
      <x:c r="D168" s="20"/>
      <x:c r="E168" s="20"/>
      <x:c r="F168" s="20"/>
      <x:c r="G168" s="20"/>
      <x:c r="H168" s="20"/>
      <x:c r="I168" s="20"/>
      <x:c r="J168" s="20"/>
      <x:c r="K168" s="20"/>
      <x:c r="L168" s="20"/>
      <x:c r="M168" s="20"/>
      <x:c r="N168" s="20"/>
    </x:row>
    <x:row r="169">
      <x:c r="A169" s="20"/>
      <x:c r="B169" s="20"/>
      <x:c r="C169" s="20"/>
      <x:c r="D169" s="20"/>
      <x:c r="E169" s="20"/>
      <x:c r="F169" s="20"/>
      <x:c r="G169" s="20"/>
      <x:c r="H169" s="20"/>
      <x:c r="I169" s="20"/>
      <x:c r="J169" s="20"/>
      <x:c r="K169" s="20"/>
      <x:c r="L169" s="20"/>
      <x:c r="M169" s="20"/>
      <x:c r="N169" s="20"/>
    </x:row>
    <x:row r="170">
      <x:c r="A170" s="20"/>
      <x:c r="B170" s="20"/>
      <x:c r="C170" s="20"/>
      <x:c r="D170" s="20"/>
      <x:c r="E170" s="20"/>
      <x:c r="F170" s="20"/>
      <x:c r="G170" s="20"/>
      <x:c r="H170" s="20"/>
      <x:c r="I170" s="20"/>
      <x:c r="J170" s="20"/>
      <x:c r="K170" s="20"/>
      <x:c r="L170" s="20"/>
      <x:c r="M170" s="20"/>
      <x:c r="N170" s="20"/>
    </x:row>
    <x:row r="171">
      <x:c r="A171" s="20"/>
      <x:c r="B171" s="20"/>
      <x:c r="C171" s="20"/>
      <x:c r="D171" s="20"/>
      <x:c r="E171" s="20"/>
      <x:c r="F171" s="20"/>
      <x:c r="G171" s="20"/>
      <x:c r="H171" s="20"/>
      <x:c r="I171" s="20"/>
      <x:c r="J171" s="20"/>
      <x:c r="K171" s="20"/>
      <x:c r="L171" s="20"/>
      <x:c r="M171" s="20"/>
      <x:c r="N171" s="20"/>
    </x:row>
    <x:row r="172">
      <x:c r="A172" s="20"/>
      <x:c r="B172" s="20"/>
      <x:c r="C172" s="20"/>
      <x:c r="D172" s="20"/>
      <x:c r="E172" s="20"/>
      <x:c r="F172" s="20"/>
      <x:c r="G172" s="20"/>
      <x:c r="H172" s="20"/>
      <x:c r="I172" s="20"/>
      <x:c r="J172" s="20"/>
      <x:c r="K172" s="20"/>
      <x:c r="L172" s="20"/>
      <x:c r="M172" s="20"/>
      <x:c r="N172" s="20"/>
    </x:row>
    <x:row r="173">
      <x:c r="A173" s="20"/>
      <x:c r="B173" s="20"/>
      <x:c r="C173" s="20"/>
      <x:c r="D173" s="20"/>
      <x:c r="E173" s="20"/>
      <x:c r="F173" s="20"/>
      <x:c r="G173" s="20"/>
      <x:c r="H173" s="20"/>
      <x:c r="I173" s="20"/>
      <x:c r="J173" s="20"/>
      <x:c r="K173" s="20"/>
      <x:c r="L173" s="20"/>
      <x:c r="M173" s="20"/>
      <x:c r="N173" s="20"/>
    </x:row>
    <x:row r="174">
      <x:c r="A174" s="20"/>
      <x:c r="B174" s="20"/>
      <x:c r="C174" s="20"/>
      <x:c r="D174" s="20"/>
      <x:c r="E174" s="20"/>
      <x:c r="F174" s="20"/>
      <x:c r="G174" s="20"/>
      <x:c r="H174" s="20"/>
      <x:c r="I174" s="20"/>
      <x:c r="J174" s="20"/>
      <x:c r="K174" s="20"/>
      <x:c r="L174" s="20"/>
      <x:c r="M174" s="20"/>
      <x:c r="N174" s="20"/>
    </x:row>
    <x:row r="175">
      <x:c r="A175" s="20"/>
      <x:c r="B175" s="20"/>
      <x:c r="C175" s="20"/>
      <x:c r="D175" s="20"/>
      <x:c r="E175" s="20"/>
      <x:c r="F175" s="20"/>
      <x:c r="G175" s="20"/>
      <x:c r="H175" s="20"/>
      <x:c r="I175" s="20"/>
      <x:c r="J175" s="20"/>
      <x:c r="K175" s="20"/>
      <x:c r="L175" s="20"/>
      <x:c r="M175" s="20"/>
      <x:c r="N175" s="20"/>
    </x:row>
    <x:row r="176">
      <x:c r="A176" s="20"/>
      <x:c r="B176" s="20"/>
      <x:c r="C176" s="20"/>
      <x:c r="D176" s="20"/>
      <x:c r="E176" s="20"/>
      <x:c r="F176" s="20"/>
      <x:c r="G176" s="20"/>
      <x:c r="H176" s="20"/>
      <x:c r="I176" s="20"/>
      <x:c r="J176" s="20"/>
      <x:c r="K176" s="20"/>
      <x:c r="L176" s="20"/>
      <x:c r="M176" s="20"/>
      <x:c r="N176" s="20"/>
    </x:row>
    <x:row r="177">
      <x:c r="A177" s="20"/>
      <x:c r="B177" s="20"/>
      <x:c r="C177" s="20"/>
      <x:c r="D177" s="20"/>
      <x:c r="E177" s="20"/>
      <x:c r="F177" s="20"/>
      <x:c r="G177" s="20"/>
      <x:c r="H177" s="20"/>
      <x:c r="I177" s="20"/>
      <x:c r="J177" s="20"/>
      <x:c r="K177" s="20"/>
      <x:c r="L177" s="20"/>
      <x:c r="M177" s="20"/>
      <x:c r="N177" s="20"/>
    </x:row>
    <x:row r="178">
      <x:c r="A178" s="20"/>
      <x:c r="B178" s="20"/>
      <x:c r="C178" s="20"/>
      <x:c r="D178" s="20"/>
      <x:c r="E178" s="20"/>
      <x:c r="F178" s="20"/>
      <x:c r="G178" s="20"/>
      <x:c r="H178" s="20"/>
      <x:c r="I178" s="20"/>
      <x:c r="J178" s="20"/>
      <x:c r="K178" s="20"/>
      <x:c r="L178" s="20"/>
      <x:c r="M178" s="20"/>
      <x:c r="N178" s="20"/>
    </x:row>
    <x:row r="179">
      <x:c r="A179" s="20"/>
      <x:c r="B179" s="20"/>
      <x:c r="C179" s="20"/>
      <x:c r="D179" s="20"/>
      <x:c r="E179" s="20"/>
      <x:c r="F179" s="20"/>
      <x:c r="G179" s="20"/>
      <x:c r="H179" s="20"/>
      <x:c r="I179" s="20"/>
      <x:c r="J179" s="20"/>
      <x:c r="K179" s="20"/>
      <x:c r="L179" s="20"/>
      <x:c r="M179" s="20"/>
      <x:c r="N179" s="20"/>
    </x:row>
    <x:row r="180">
      <x:c r="A180" s="20"/>
      <x:c r="B180" s="20"/>
      <x:c r="C180" s="20"/>
      <x:c r="D180" s="20"/>
      <x:c r="E180" s="20"/>
      <x:c r="F180" s="20"/>
      <x:c r="G180" s="20"/>
      <x:c r="H180" s="20"/>
      <x:c r="I180" s="20"/>
      <x:c r="J180" s="20"/>
      <x:c r="K180" s="20"/>
      <x:c r="L180" s="20"/>
      <x:c r="M180" s="20"/>
      <x:c r="N180" s="20"/>
    </x:row>
    <x:row r="181">
      <x:c r="A181" s="20"/>
      <x:c r="B181" s="20"/>
      <x:c r="C181" s="20"/>
      <x:c r="D181" s="20"/>
      <x:c r="E181" s="20"/>
      <x:c r="F181" s="20"/>
      <x:c r="G181" s="20"/>
      <x:c r="H181" s="20"/>
      <x:c r="I181" s="20"/>
      <x:c r="J181" s="20"/>
      <x:c r="K181" s="20"/>
      <x:c r="L181" s="20"/>
      <x:c r="M181" s="20"/>
      <x:c r="N181" s="20"/>
    </x:row>
    <x:row r="182">
      <x:c r="A182" s="20"/>
      <x:c r="B182" s="20"/>
      <x:c r="C182" s="20"/>
      <x:c r="D182" s="20"/>
      <x:c r="E182" s="20"/>
      <x:c r="F182" s="20"/>
      <x:c r="G182" s="20"/>
      <x:c r="H182" s="20"/>
      <x:c r="I182" s="20"/>
      <x:c r="J182" s="20"/>
      <x:c r="K182" s="20"/>
      <x:c r="L182" s="20"/>
      <x:c r="M182" s="20"/>
      <x:c r="N182" s="20"/>
    </x:row>
    <x:row r="183">
      <x:c r="A183" s="20"/>
      <x:c r="B183" s="20"/>
      <x:c r="C183" s="20"/>
      <x:c r="D183" s="20"/>
      <x:c r="E183" s="20"/>
      <x:c r="F183" s="20"/>
      <x:c r="G183" s="20"/>
      <x:c r="H183" s="20"/>
      <x:c r="I183" s="20"/>
      <x:c r="J183" s="20"/>
      <x:c r="K183" s="20"/>
      <x:c r="L183" s="20"/>
      <x:c r="M183" s="20"/>
      <x:c r="N183" s="20"/>
    </x:row>
    <x:row r="184">
      <x:c r="A184" s="20"/>
      <x:c r="B184" s="20"/>
      <x:c r="C184" s="20"/>
      <x:c r="D184" s="20"/>
      <x:c r="E184" s="20"/>
      <x:c r="F184" s="20"/>
      <x:c r="G184" s="20"/>
      <x:c r="H184" s="20"/>
      <x:c r="I184" s="20"/>
      <x:c r="J184" s="20"/>
      <x:c r="K184" s="20"/>
      <x:c r="L184" s="20"/>
      <x:c r="M184" s="20"/>
      <x:c r="N184" s="20"/>
    </x:row>
    <x:row r="185">
      <x:c r="A185" s="20"/>
      <x:c r="B185" s="20"/>
      <x:c r="C185" s="20"/>
      <x:c r="D185" s="20"/>
      <x:c r="E185" s="20"/>
      <x:c r="F185" s="20"/>
      <x:c r="G185" s="20"/>
      <x:c r="H185" s="20"/>
      <x:c r="I185" s="20"/>
      <x:c r="J185" s="20"/>
      <x:c r="K185" s="20"/>
      <x:c r="L185" s="20"/>
      <x:c r="M185" s="20"/>
      <x:c r="N185" s="20"/>
    </x:row>
    <x:row r="186">
      <x:c r="A186" s="20"/>
      <x:c r="B186" s="20"/>
      <x:c r="C186" s="20"/>
      <x:c r="D186" s="20"/>
      <x:c r="E186" s="20"/>
      <x:c r="F186" s="20"/>
      <x:c r="G186" s="20"/>
      <x:c r="H186" s="20"/>
      <x:c r="I186" s="20"/>
      <x:c r="J186" s="20"/>
      <x:c r="K186" s="20"/>
      <x:c r="L186" s="20"/>
      <x:c r="M186" s="20"/>
      <x:c r="N186" s="20"/>
    </x:row>
    <x:row r="187">
      <x:c r="A187" s="20"/>
      <x:c r="B187" s="20"/>
      <x:c r="C187" s="20"/>
      <x:c r="D187" s="20"/>
      <x:c r="E187" s="20"/>
      <x:c r="F187" s="20"/>
      <x:c r="G187" s="20"/>
      <x:c r="H187" s="20"/>
      <x:c r="I187" s="20"/>
      <x:c r="J187" s="20"/>
      <x:c r="K187" s="20"/>
      <x:c r="L187" s="20"/>
      <x:c r="M187" s="20"/>
      <x:c r="N187" s="20"/>
    </x:row>
    <x:row r="188">
      <x:c r="A188" s="20"/>
      <x:c r="B188" s="20"/>
      <x:c r="C188" s="20"/>
      <x:c r="D188" s="20"/>
      <x:c r="E188" s="20"/>
      <x:c r="F188" s="20"/>
      <x:c r="G188" s="20"/>
      <x:c r="H188" s="20"/>
      <x:c r="I188" s="20"/>
      <x:c r="J188" s="20"/>
      <x:c r="K188" s="20"/>
      <x:c r="L188" s="20"/>
      <x:c r="M188" s="20"/>
      <x:c r="N188" s="20"/>
    </x:row>
    <x:row r="189">
      <x:c r="A189" s="20"/>
      <x:c r="B189" s="20"/>
      <x:c r="C189" s="20"/>
      <x:c r="D189" s="20"/>
      <x:c r="E189" s="20"/>
      <x:c r="F189" s="20"/>
      <x:c r="G189" s="20"/>
      <x:c r="H189" s="20"/>
      <x:c r="I189" s="20"/>
      <x:c r="J189" s="20"/>
      <x:c r="K189" s="20"/>
      <x:c r="L189" s="20"/>
      <x:c r="M189" s="20"/>
      <x:c r="N189" s="20"/>
    </x:row>
    <x:row r="190">
      <x:c r="A190" s="20"/>
      <x:c r="B190" s="20"/>
      <x:c r="C190" s="20"/>
      <x:c r="D190" s="20"/>
      <x:c r="E190" s="20"/>
      <x:c r="F190" s="20"/>
      <x:c r="G190" s="20"/>
      <x:c r="H190" s="20"/>
      <x:c r="I190" s="20"/>
      <x:c r="J190" s="20"/>
      <x:c r="K190" s="20"/>
      <x:c r="L190" s="20"/>
      <x:c r="M190" s="20"/>
      <x:c r="N190" s="20"/>
    </x:row>
    <x:row r="191">
      <x:c r="A191" s="20"/>
      <x:c r="B191" s="20"/>
      <x:c r="C191" s="20"/>
      <x:c r="D191" s="20"/>
      <x:c r="E191" s="20"/>
      <x:c r="F191" s="20"/>
      <x:c r="G191" s="20"/>
      <x:c r="H191" s="20"/>
      <x:c r="I191" s="20"/>
      <x:c r="J191" s="20"/>
      <x:c r="K191" s="20"/>
      <x:c r="L191" s="20"/>
      <x:c r="M191" s="20"/>
      <x:c r="N191" s="20"/>
    </x:row>
    <x:row r="192">
      <x:c r="A192" s="20"/>
      <x:c r="B192" s="20"/>
      <x:c r="C192" s="20"/>
      <x:c r="D192" s="20"/>
      <x:c r="E192" s="20"/>
      <x:c r="F192" s="20"/>
      <x:c r="G192" s="20"/>
      <x:c r="H192" s="20"/>
      <x:c r="I192" s="20"/>
      <x:c r="J192" s="20"/>
      <x:c r="K192" s="20"/>
      <x:c r="L192" s="20"/>
      <x:c r="M192" s="20"/>
      <x:c r="N192" s="20"/>
    </x:row>
    <x:row r="193">
      <x:c r="A193" s="20"/>
      <x:c r="B193" s="20"/>
      <x:c r="C193" s="20"/>
      <x:c r="D193" s="20"/>
      <x:c r="E193" s="20"/>
      <x:c r="F193" s="20"/>
      <x:c r="G193" s="20"/>
      <x:c r="H193" s="20"/>
      <x:c r="I193" s="20"/>
      <x:c r="J193" s="20"/>
      <x:c r="K193" s="20"/>
      <x:c r="L193" s="20"/>
      <x:c r="M193" s="20"/>
      <x:c r="N193" s="20"/>
    </x:row>
    <x:row r="194">
      <x:c r="A194" s="20"/>
      <x:c r="B194" s="20"/>
      <x:c r="C194" s="20"/>
      <x:c r="D194" s="20"/>
      <x:c r="E194" s="20"/>
      <x:c r="F194" s="20"/>
      <x:c r="G194" s="20"/>
      <x:c r="H194" s="20"/>
      <x:c r="I194" s="20"/>
      <x:c r="J194" s="20"/>
      <x:c r="K194" s="20"/>
      <x:c r="L194" s="20"/>
      <x:c r="M194" s="20"/>
      <x:c r="N194" s="20"/>
    </x:row>
    <x:row r="195">
      <x:c r="A195" s="20"/>
      <x:c r="B195" s="20"/>
      <x:c r="C195" s="20"/>
      <x:c r="D195" s="20"/>
      <x:c r="E195" s="20"/>
      <x:c r="F195" s="20"/>
      <x:c r="G195" s="20"/>
      <x:c r="H195" s="20"/>
      <x:c r="I195" s="20"/>
      <x:c r="J195" s="20"/>
      <x:c r="K195" s="20"/>
      <x:c r="L195" s="20"/>
      <x:c r="M195" s="20"/>
      <x:c r="N195" s="20"/>
    </x:row>
    <x:row r="196">
      <x:c r="A196" s="20"/>
      <x:c r="B196" s="20"/>
      <x:c r="C196" s="20"/>
      <x:c r="D196" s="20"/>
      <x:c r="E196" s="20"/>
      <x:c r="F196" s="20"/>
      <x:c r="G196" s="20"/>
      <x:c r="H196" s="20"/>
      <x:c r="I196" s="20"/>
      <x:c r="J196" s="20"/>
      <x:c r="K196" s="20"/>
      <x:c r="L196" s="20"/>
      <x:c r="M196" s="20"/>
      <x:c r="N196" s="20"/>
    </x:row>
    <x:row r="197">
      <x:c r="A197" s="20"/>
      <x:c r="B197" s="20"/>
      <x:c r="C197" s="20"/>
      <x:c r="D197" s="20"/>
      <x:c r="E197" s="20"/>
      <x:c r="F197" s="20"/>
      <x:c r="G197" s="20"/>
      <x:c r="H197" s="20"/>
      <x:c r="I197" s="20"/>
      <x:c r="J197" s="20"/>
      <x:c r="K197" s="20"/>
      <x:c r="L197" s="20"/>
      <x:c r="M197" s="20"/>
      <x:c r="N197" s="20"/>
    </x:row>
    <x:row r="198">
      <x:c r="A198" s="20"/>
      <x:c r="B198" s="20"/>
      <x:c r="C198" s="20"/>
      <x:c r="D198" s="20"/>
      <x:c r="E198" s="20"/>
      <x:c r="F198" s="20"/>
      <x:c r="G198" s="20"/>
      <x:c r="H198" s="20"/>
      <x:c r="I198" s="20"/>
      <x:c r="J198" s="20"/>
      <x:c r="K198" s="20"/>
      <x:c r="L198" s="20"/>
      <x:c r="M198" s="20"/>
      <x:c r="N198" s="20"/>
    </x:row>
    <x:row r="199">
      <x:c r="A199" s="20"/>
      <x:c r="B199" s="20"/>
      <x:c r="C199" s="20"/>
      <x:c r="D199" s="20"/>
      <x:c r="E199" s="20"/>
      <x:c r="F199" s="20"/>
      <x:c r="G199" s="20"/>
      <x:c r="H199" s="20"/>
      <x:c r="I199" s="20"/>
      <x:c r="J199" s="20"/>
      <x:c r="K199" s="20"/>
      <x:c r="L199" s="20"/>
      <x:c r="M199" s="20"/>
      <x:c r="N199" s="20"/>
    </x:row>
    <x:row r="200">
      <x:c r="A200" s="20"/>
      <x:c r="B200" s="20"/>
      <x:c r="C200" s="20"/>
      <x:c r="D200" s="20"/>
      <x:c r="E200" s="20"/>
      <x:c r="F200" s="20"/>
      <x:c r="G200" s="20"/>
      <x:c r="H200" s="20"/>
      <x:c r="I200" s="20"/>
      <x:c r="J200" s="20"/>
      <x:c r="K200" s="20"/>
      <x:c r="L200" s="20"/>
      <x:c r="M200" s="20"/>
      <x:c r="N200" s="20"/>
    </x:row>
  </x:sheetData>
  <x:mergeCells>
    <x:mergeCell ref="A1:N1"/>
    <x:mergeCell ref="A8:J8"/>
  </x:mergeCells>
  <x:dataValidations count="1">
    <x:dataValidation type="list" sqref="N4:N200">
      <x:formula1>"TRUE,FALSE"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60" hidden="0" customWidth="1"/>
    <x:col min="3" max="3" width="50" hidden="0" customWidth="1"/>
    <x:col min="4" max="4" width="50" hidden="0" customWidth="1"/>
  </x:cols>
  <x:sheetData>
    <x:row r="1">
      <x:c r="A1" s="12" t="str">
        <x:v>BioPot-Gas v0.5 | Notas Metodológicas</x:v>
      </x:c>
      <x:c r="B1" s="12" t="str"/>
      <x:c r="C1" s="12" t="str"/>
      <x:c r="D1" s="12" t="str"/>
    </x:row>
    <x:row r="3">
      <x:c r="A3" s="30" t="str">
        <x:v>Item</x:v>
      </x:c>
      <x:c r="B3" s="30" t="str">
        <x:v>Descrição</x:v>
      </x:c>
      <x:c r="C3" s="30" t="str">
        <x:v>Implementação</x:v>
      </x:c>
      <x:c r="D3" s="30" t="str">
        <x:v>Limitação</x:v>
      </x:c>
    </x:row>
    <x:row r="4">
      <x:c r="A4" s="20" t="str">
        <x:v>Método central</x:v>
      </x:c>
      <x:c r="B4" s="20" t="str">
        <x:v>Estimativa teórica do potencial de biogás por balanço elementar C, H, O, N e S.</x:v>
      </x:c>
      <x:c r="C4" s="20" t="str">
        <x:v>Núcleo Python calcula CH4, CO2, NH3 e H2S.</x:v>
      </x:c>
      <x:c r="D4" s="20" t="str">
        <x:v>Não substitui ensaios experimentais de digestão anaeróbia.</x:v>
      </x:c>
    </x:row>
    <x:row r="5">
      <x:c r="A5" s="20" t="str">
        <x:v>Carbono convertido</x:v>
      </x:c>
      <x:c r="B5" s="20" t="str">
        <x:v>Fração do carbono direcionada à formação de biogás.</x:v>
      </x:c>
      <x:c r="C5" s="20" t="str">
        <x:v>Parâmetro carbon_conversion editável na aba 01_INPUTS.</x:v>
      </x:c>
      <x:c r="D5" s="20" t="str">
        <x:v>A fração deve ser definida de acordo com a hipótese do usuário.</x:v>
      </x:c>
    </x:row>
    <x:row r="6">
      <x:c r="A6" s="20" t="str">
        <x:v>Volume normalizado</x:v>
      </x:c>
      <x:c r="B6" s="20" t="str">
        <x:v>Conversão de mol para Nm³ a partir da temperatura e pressão de normalização.</x:v>
      </x:c>
      <x:c r="C6" s="20" t="str">
        <x:v>Usa R, T e P informados na planilha.</x:v>
      </x:c>
      <x:c r="D6" s="20" t="str">
        <x:v>A condição normal deve ser compatível com a comparação experimental.</x:v>
      </x:c>
    </x:row>
    <x:row r="7">
      <x:c r="A7" s="20" t="str">
        <x:v>Energia</x:v>
      </x:c>
      <x:c r="B7" s="20" t="str">
        <x:v>Estimativa energética do CH4 com base no PCI informado.</x:v>
      </x:c>
      <x:c r="C7" s="20" t="str">
        <x:v>Multiplica CH4_Nm3 por CH4_LHV_MJ_per_Nm3.</x:v>
      </x:c>
      <x:c r="D7" s="20" t="str">
        <x:v>O PCI pode variar conforme a referência adotada.</x:v>
      </x:c>
    </x:row>
    <x:row r="8">
      <x:c r="A8" s="20" t="str">
        <x:v>Validação experimental</x:v>
      </x:c>
      <x:c r="B8" s="20" t="str">
        <x:v>Compara volume experimental e teórico.</x:v>
      </x:c>
      <x:c r="C8" s="20" t="str">
        <x:v>Calcula erros e eficiência de conversão.</x:v>
      </x:c>
      <x:c r="D8" s="20" t="str">
        <x:v>Só é válida quando as bases forem compatíveis.</x:v>
      </x:c>
    </x:row>
    <x:row r="9">
      <x:c r="A9" s="20" t="str">
        <x:v>Integração</x:v>
      </x:c>
      <x:c r="B9" s="20" t="str">
        <x:v>A rotina pode funcionar de forma autônoma ou ser integrada a outros ambientes.</x:v>
      </x:c>
      <x:c r="C9" s="20" t="str">
        <x:v>Entrada e saída por Excel com núcleo Python.</x:v>
      </x:c>
      <x:c r="D9" s="20" t="str">
        <x:v>Integrações externas precisam ser desenvolvidas caso a caso.</x:v>
      </x:c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30" hidden="0" customWidth="1"/>
    <x:col min="4" max="4" width="16" hidden="0" customWidth="1"/>
    <x:col min="5" max="5" width="18" hidden="0" customWidth="1"/>
    <x:col min="6" max="6" width="18" hidden="0" customWidth="1"/>
    <x:col min="7" max="7" width="22" hidden="0" customWidth="1"/>
    <x:col min="8" max="8" width="24" hidden="0" customWidth="1"/>
    <x:col min="9" max="9" width="22" hidden="0" customWidth="1"/>
    <x:col min="10" max="10" width="20" hidden="0" customWidth="1"/>
    <x:col min="11" max="11" width="18" hidden="0" customWidth="1"/>
    <x:col min="12" max="12" width="42" hidden="0" customWidth="1"/>
    <x:col min="13" max="13" width="22" hidden="0" customWidth="1"/>
    <x:col min="14" max="14" width="18" hidden="0" customWidth="1"/>
  </x:cols>
  <x:sheetData>
    <x:row r="1">
      <x:c r="A1" s="57" t="str">
        <x:v>BioPot-Gas v0.6 | Validação técnico-científica e benchmarks de literatura</x:v>
      </x:c>
      <x:c r="B1" s="57" t="str"/>
      <x:c r="C1" s="57" t="str"/>
      <x:c r="D1" s="57" t="str"/>
      <x:c r="E1" s="57" t="str"/>
      <x:c r="F1" s="57" t="str"/>
      <x:c r="G1" s="57" t="str"/>
      <x:c r="H1" s="57" t="str"/>
      <x:c r="I1" s="57" t="str"/>
      <x:c r="J1" s="57" t="str"/>
      <x:c r="K1" s="57" t="str"/>
      <x:c r="L1" s="57" t="str"/>
      <x:c r="M1" s="57" t="str"/>
      <x:c r="N1" s="57" t="str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</x:row>
    <x:row r="3">
      <x:c r="A3" s="58" t="str">
        <x:v>Objetivo</x:v>
      </x:c>
      <x:c r="B3" s="20" t="str">
        <x:v>Documentar benchmarks usados para verificar a consistência matemática, volumétrica e experimental do BioPot-Gas.</x:v>
      </x:c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  <x:c r="N3" s="20"/>
    </x:row>
    <x:row r="4">
      <x:c r="A4" s="58" t="str">
        <x:v>Escopo</x:v>
      </x:c>
      <x:c r="B4" s="20" t="str">
        <x:v>Esta aba não altera o núcleo computacional. Ela organiza evidências de validação e comparação com literatura.</x:v>
      </x:c>
      <x:c r="C4" s="20"/>
      <x:c r="D4" s="20"/>
      <x:c r="E4" s="20"/>
      <x:c r="F4" s="20"/>
      <x:c r="G4" s="20"/>
      <x:c r="H4" s="20"/>
      <x:c r="I4" s="20"/>
      <x:c r="J4" s="20"/>
      <x:c r="K4" s="20"/>
      <x:c r="L4" s="20"/>
      <x:c r="M4" s="20"/>
      <x:c r="N4" s="20"/>
    </x:row>
    <x:row r="5">
      <x:c r="A5" s="58" t="str">
        <x:v>Interpretação</x:v>
      </x:c>
      <x:c r="B5" s="20" t="str">
        <x:v>Os resultados teóricos representam potencial máximo. Valores experimentais podem ficar abaixo por biodegradabilidade incompleta, inibição, hidrólise limitada, composição lignocelulósica e condições do ensaio BMP.</x:v>
      </x:c>
      <x:c r="C5" s="20"/>
      <x:c r="D5" s="20"/>
      <x:c r="E5" s="20"/>
      <x:c r="F5" s="20"/>
      <x:c r="G5" s="20"/>
      <x:c r="H5" s="20"/>
      <x:c r="I5" s="20"/>
      <x:c r="J5" s="20"/>
      <x:c r="K5" s="20"/>
      <x:c r="L5" s="20"/>
      <x:c r="M5" s="20"/>
      <x:c r="N5" s="20"/>
    </x:row>
    <x:row r="6">
      <x:c r="A6" s="58" t="str">
        <x:v>Status geral</x:v>
      </x:c>
      <x:c r="B6" s="20" t="str">
        <x:v>Aprovado para os benchmarks incluídos nesta versão.</x:v>
      </x:c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</x:row>
    <x:row r="8">
      <x:c r="A8" s="58" t="str">
        <x:v>1. Validação estequiométrica e volumétrica com controle de celulose</x:v>
      </x:c>
      <x:c r="B8" s="58" t="str"/>
      <x:c r="C8" s="58" t="str"/>
      <x:c r="D8" s="58" t="str"/>
      <x:c r="E8" s="58" t="str"/>
      <x:c r="F8" s="58" t="str"/>
      <x:c r="G8" s="58" t="str"/>
      <x:c r="H8" s="58" t="str"/>
      <x:c r="I8" s="58" t="str"/>
      <x:c r="J8" s="58" t="str"/>
      <x:c r="K8" s="58" t="str"/>
      <x:c r="L8" s="58" t="str"/>
      <x:c r="M8" s="58" t="str"/>
      <x:c r="N8" s="58" t="str"/>
    </x:row>
    <x:row r="9">
      <x:c r="A9" s="59" t="str">
        <x:v>Benchmark_ID</x:v>
      </x:c>
      <x:c r="B9" s="59" t="str">
        <x:v>Fonte</x:v>
      </x:c>
      <x:c r="C9" s="59" t="str">
        <x:v>Substrato</x:v>
      </x:c>
      <x:c r="D9" s="59" t="str">
        <x:v>Fórmula</x:v>
      </x:c>
      <x:c r="E9" s="59" t="str">
        <x:v>carbon_conversion</x:v>
      </x:c>
      <x:c r="F9" s="59" t="str">
        <x:v>CH4_mol_esperado</x:v>
      </x:c>
      <x:c r="G9" s="59" t="str">
        <x:v>CH4_mol_BioPotGas</x:v>
      </x:c>
      <x:c r="H9" s="59" t="str">
        <x:v>CO2_mol_esperado</x:v>
      </x:c>
      <x:c r="I9" s="59" t="str">
        <x:v>CO2_mol_BioPotGas</x:v>
      </x:c>
      <x:c r="J9" s="59" t="str">
        <x:v>CH4_literature_mL_gVS</x:v>
      </x:c>
      <x:c r="K9" s="59" t="str">
        <x:v>CH4_BioPotGas_mL_gVS</x:v>
      </x:c>
      <x:c r="L9" s="59" t="str">
        <x:v>relative_error_percent</x:v>
      </x:c>
      <x:c r="M9" s="59" t="str">
        <x:v>status</x:v>
      </x:c>
      <x:c r="N9" s="59" t="str">
        <x:v>observação</x:v>
      </x:c>
    </x:row>
    <x:row r="10">
      <x:c r="A10" s="55" t="str">
        <x:v>B01</x:v>
      </x:c>
      <x:c r="B10" s="55" t="str">
        <x:v>Filer et al. 2019</x:v>
      </x:c>
      <x:c r="C10" s="55" t="str">
        <x:v>Celulose microcristalina / glucan</x:v>
      </x:c>
      <x:c r="D10" s="55" t="str">
        <x:v>C6H10O5</x:v>
      </x:c>
      <x:c r="E10" s="55" t="n">
        <x:v>1</x:v>
      </x:c>
      <x:c r="F10" s="55" t="n">
        <x:v>3</x:v>
      </x:c>
      <x:c r="G10" s="55" t="n">
        <x:v>3</x:v>
      </x:c>
      <x:c r="H10" s="55" t="n">
        <x:v>3</x:v>
      </x:c>
      <x:c r="I10" s="55" t="n">
        <x:v>3</x:v>
      </x:c>
      <x:c r="J10" s="55" t="n">
        <x:v>415</x:v>
      </x:c>
      <x:c r="K10" s="55" t="n">
        <x:v>414.71</x:v>
      </x:c>
      <x:c r="L10" s="55" t="n">
        <x:v>-0.06987951807229409</x:v>
      </x:c>
      <x:c r="M10" s="55" t="str">
        <x:v>Aprovado</x:v>
      </x:c>
      <x:c r="N10" s="55" t="str">
        <x:v>Controle positivo BMP. Diferença associada a arredondamento de massa molar e volume molar.</x:v>
      </x:c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58" t="str">
        <x:v>2. Validação do módulo de biodegradabilidade com Llanos-Lizcano et al. 2024</x:v>
      </x:c>
      <x:c r="B12" s="58" t="str"/>
      <x:c r="C12" s="58" t="str"/>
      <x:c r="D12" s="58" t="str"/>
      <x:c r="E12" s="58" t="str"/>
      <x:c r="F12" s="58" t="str"/>
      <x:c r="G12" s="58" t="str"/>
      <x:c r="H12" s="58" t="str"/>
      <x:c r="I12" s="58" t="str"/>
      <x:c r="J12" s="58" t="str"/>
      <x:c r="K12" s="58" t="str"/>
      <x:c r="L12" s="58" t="str"/>
      <x:c r="M12" s="58" t="str"/>
      <x:c r="N12" s="58" t="str"/>
    </x:row>
    <x:row r="13">
      <x:c r="A13" s="59" t="str">
        <x:v>Benchmark_ID</x:v>
      </x:c>
      <x:c r="B13" s="59" t="str">
        <x:v>Fonte</x:v>
      </x:c>
      <x:c r="C13" s="59" t="str">
        <x:v>Substrato</x:v>
      </x:c>
      <x:c r="D13" s="59" t="str">
        <x:v>ISR</x:v>
      </x:c>
      <x:c r="E13" s="59" t="str">
        <x:v>BMPth_mL_CH4_gVS</x:v>
      </x:c>
      <x:c r="F13" s="59" t="str">
        <x:v>SMY_mL_CH4_gVS</x:v>
      </x:c>
      <x:c r="G13" s="59" t="str">
        <x:v>biodegradability_published_percent</x:v>
      </x:c>
      <x:c r="H13" s="59" t="str">
        <x:v>biodegradability_BioPotGas_percent</x:v>
      </x:c>
      <x:c r="I13" s="59" t="str">
        <x:v>difference_percentage_points</x:v>
      </x:c>
      <x:c r="J13" s="59" t="str">
        <x:v>relative_difference_percent</x:v>
      </x:c>
      <x:c r="K13" s="59" t="str">
        <x:v>status</x:v>
      </x:c>
      <x:c r="L13" s="59" t="str">
        <x:v>observação</x:v>
      </x:c>
      <x:c r="M13" s="59" t="str">
        <x:v>equação</x:v>
      </x:c>
      <x:c r="N13" s="59" t="str">
        <x:v>unidade</x:v>
      </x:c>
    </x:row>
    <x:row r="14">
      <x:c r="A14" s="55" t="str">
        <x:v>B02</x:v>
      </x:c>
      <x:c r="B14" s="55" t="str">
        <x:v>Llanos-Lizcano et al. 2024</x:v>
      </x:c>
      <x:c r="C14" s="55" t="str">
        <x:v>Food waste (FW)</x:v>
      </x:c>
      <x:c r="D14" s="55" t="str">
        <x:v>ISR 2</x:v>
      </x:c>
      <x:c r="E14" s="55" t="n">
        <x:v>490.11</x:v>
      </x:c>
      <x:c r="F14" s="55" t="n">
        <x:v>377.41</x:v>
      </x:c>
      <x:c r="G14" s="55" t="n">
        <x:v>77.07</x:v>
      </x:c>
      <x:c r="H14" s="55" t="n">
        <x:v>77.0051621064659</x:v>
      </x:c>
      <x:c r="I14" s="55" t="n">
        <x:v>-0.06483789353409009</x:v>
      </x:c>
      <x:c r="J14" s="55" t="n">
        <x:v>-0.08412857601413014</x:v>
      </x:c>
      <x:c r="K14" s="55" t="str">
        <x:v>Aprovado</x:v>
      </x:c>
      <x:c r="L14" s="55" t="str">
        <x:v>Diferença esperada por arredondamento dos valores publicados.</x:v>
      </x:c>
      <x:c r="M14" s="55" t="str">
        <x:v>SMY/BMPth × 100</x:v>
      </x:c>
      <x:c r="N14" s="55" t="str">
        <x:v>mL CH4/g VS</x:v>
      </x:c>
    </x:row>
    <x:row r="15">
      <x:c r="A15" s="55" t="str">
        <x:v>B03</x:v>
      </x:c>
      <x:c r="B15" s="55" t="str">
        <x:v>Llanos-Lizcano et al. 2024</x:v>
      </x:c>
      <x:c r="C15" s="55" t="str">
        <x:v>Food waste (FW)</x:v>
      </x:c>
      <x:c r="D15" s="55" t="str">
        <x:v>ISR 1</x:v>
      </x:c>
      <x:c r="E15" s="55" t="n">
        <x:v>490.11</x:v>
      </x:c>
      <x:c r="F15" s="55" t="n">
        <x:v>409.79</x:v>
      </x:c>
      <x:c r="G15" s="55" t="n">
        <x:v>83.75</x:v>
      </x:c>
      <x:c r="H15" s="55" t="n">
        <x:v>83.61184223949726</x:v>
      </x:c>
      <x:c r="I15" s="55" t="n">
        <x:v>-0.13815776050273598</x:v>
      </x:c>
      <x:c r="J15" s="55" t="n">
        <x:v>-0.1649644901525206</x:v>
      </x:c>
      <x:c r="K15" s="55" t="str">
        <x:v>Aprovado</x:v>
      </x:c>
      <x:c r="L15" s="55" t="str">
        <x:v>Diferença esperada por arredondamento dos valores publicados.</x:v>
      </x:c>
      <x:c r="M15" s="55" t="str">
        <x:v>SMY/BMPth × 100</x:v>
      </x:c>
      <x:c r="N15" s="55" t="str">
        <x:v>mL CH4/g VS</x:v>
      </x:c>
    </x:row>
    <x:row r="16">
      <x:c r="A16" s="55" t="str">
        <x:v>B04</x:v>
      </x:c>
      <x:c r="B16" s="55" t="str">
        <x:v>Llanos-Lizcano et al. 2024</x:v>
      </x:c>
      <x:c r="C16" s="55" t="str">
        <x:v>Dairy industry waste (DIW)</x:v>
      </x:c>
      <x:c r="D16" s="55" t="str">
        <x:v>ISR 2</x:v>
      </x:c>
      <x:c r="E16" s="55" t="n">
        <x:v>428.4</x:v>
      </x:c>
      <x:c r="F16" s="55" t="n">
        <x:v>335.02</x:v>
      </x:c>
      <x:c r="G16" s="55" t="n">
        <x:v>78.19</x:v>
      </x:c>
      <x:c r="H16" s="55" t="n">
        <x:v>78.20261437908496</x:v>
      </x:c>
      <x:c r="I16" s="55" t="n">
        <x:v>0.012614379084965321</x:v>
      </x:c>
      <x:c r="J16" s="55" t="n">
        <x:v>0.016132982587243026</x:v>
      </x:c>
      <x:c r="K16" s="55" t="str">
        <x:v>Aprovado</x:v>
      </x:c>
      <x:c r="L16" s="55" t="str">
        <x:v>Diferença esperada por arredondamento dos valores publicados.</x:v>
      </x:c>
      <x:c r="M16" s="55" t="str">
        <x:v>SMY/BMPth × 100</x:v>
      </x:c>
      <x:c r="N16" s="55" t="str">
        <x:v>mL CH4/g VS</x:v>
      </x:c>
    </x:row>
    <x:row r="17">
      <x:c r="A17" s="55" t="str">
        <x:v>B05</x:v>
      </x:c>
      <x:c r="B17" s="55" t="str">
        <x:v>Llanos-Lizcano et al. 2024</x:v>
      </x:c>
      <x:c r="C17" s="55" t="str">
        <x:v>Dairy industry waste (DIW)</x:v>
      </x:c>
      <x:c r="D17" s="55" t="str">
        <x:v>ISR 1</x:v>
      </x:c>
      <x:c r="E17" s="55" t="n">
        <x:v>428.4</x:v>
      </x:c>
      <x:c r="F17" s="55" t="n">
        <x:v>105.01</x:v>
      </x:c>
      <x:c r="G17" s="55" t="n">
        <x:v>24.51</x:v>
      </x:c>
      <x:c r="H17" s="55" t="n">
        <x:v>24.51213818860878</x:v>
      </x:c>
      <x:c r="I17" s="55" t="n">
        <x:v>0.0021381886087787905</x:v>
      </x:c>
      <x:c r="J17" s="55" t="n">
        <x:v>0.008723739733899593</x:v>
      </x:c>
      <x:c r="K17" s="55" t="str">
        <x:v>Aprovado</x:v>
      </x:c>
      <x:c r="L17" s="55" t="str">
        <x:v>Diferença esperada por arredondamento dos valores publicados.</x:v>
      </x:c>
      <x:c r="M17" s="55" t="str">
        <x:v>SMY/BMPth × 100</x:v>
      </x:c>
      <x:c r="N17" s="55" t="str">
        <x:v>mL CH4/g VS</x:v>
      </x:c>
    </x:row>
    <x:row r="18">
      <x:c r="A18" s="55" t="str">
        <x:v>B06</x:v>
      </x:c>
      <x:c r="B18" s="55" t="str">
        <x:v>Llanos-Lizcano et al. 2024</x:v>
      </x:c>
      <x:c r="C18" s="55" t="str">
        <x:v>Brewery waste (BW)</x:v>
      </x:c>
      <x:c r="D18" s="55" t="str">
        <x:v>ISR 2</x:v>
      </x:c>
      <x:c r="E18" s="55" t="n">
        <x:v>484.63</x:v>
      </x:c>
      <x:c r="F18" s="55" t="n">
        <x:v>460.62</x:v>
      </x:c>
      <x:c r="G18" s="55" t="n">
        <x:v>95.05</x:v>
      </x:c>
      <x:c r="H18" s="55" t="n">
        <x:v>95.04570497080248</x:v>
      </x:c>
      <x:c r="I18" s="55" t="n">
        <x:v>-0.0042950291975216714</x:v>
      </x:c>
      <x:c r="J18" s="55" t="n">
        <x:v>-0.004518705099970197</x:v>
      </x:c>
      <x:c r="K18" s="55" t="str">
        <x:v>Aprovado</x:v>
      </x:c>
      <x:c r="L18" s="55" t="str">
        <x:v>Diferença esperada por arredondamento dos valores publicados.</x:v>
      </x:c>
      <x:c r="M18" s="55" t="str">
        <x:v>SMY/BMPth × 100</x:v>
      </x:c>
      <x:c r="N18" s="55" t="str">
        <x:v>mL CH4/g VS</x:v>
      </x:c>
    </x:row>
    <x:row r="19">
      <x:c r="A19" s="55" t="str">
        <x:v>B07</x:v>
      </x:c>
      <x:c r="B19" s="55" t="str">
        <x:v>Llanos-Lizcano et al. 2024</x:v>
      </x:c>
      <x:c r="C19" s="55" t="str">
        <x:v>Brewery waste (BW)</x:v>
      </x:c>
      <x:c r="D19" s="55" t="str">
        <x:v>ISR 1</x:v>
      </x:c>
      <x:c r="E19" s="55" t="n">
        <x:v>484.63</x:v>
      </x:c>
      <x:c r="F19" s="55" t="n">
        <x:v>463.53</x:v>
      </x:c>
      <x:c r="G19" s="55" t="n">
        <x:v>95.65</x:v>
      </x:c>
      <x:c r="H19" s="55" t="n">
        <x:v>95.6461630522254</x:v>
      </x:c>
      <x:c r="I19" s="55" t="n">
        <x:v>-0.00383694777460164</x:v>
      </x:c>
      <x:c r="J19" s="55" t="n">
        <x:v>-0.004011445660848552</x:v>
      </x:c>
      <x:c r="K19" s="55" t="str">
        <x:v>Aprovado</x:v>
      </x:c>
      <x:c r="L19" s="55" t="str">
        <x:v>Diferença esperada por arredondamento dos valores publicados.</x:v>
      </x:c>
      <x:c r="M19" s="55" t="str">
        <x:v>SMY/BMPth × 100</x:v>
      </x:c>
      <x:c r="N19" s="55" t="str">
        <x:v>mL CH4/g VS</x:v>
      </x:c>
    </x:row>
    <x:row r="20">
      <x:c r="A20" s="55" t="str">
        <x:v>B08</x:v>
      </x:c>
      <x:c r="B20" s="55" t="str">
        <x:v>Llanos-Lizcano et al. 2024</x:v>
      </x:c>
      <x:c r="C20" s="55" t="str">
        <x:v>Cardboard waste (CBW)</x:v>
      </x:c>
      <x:c r="D20" s="55" t="str">
        <x:v>ISR 2</x:v>
      </x:c>
      <x:c r="E20" s="55" t="n">
        <x:v>413.02</x:v>
      </x:c>
      <x:c r="F20" s="55" t="n">
        <x:v>271.09</x:v>
      </x:c>
      <x:c r="G20" s="55" t="n">
        <x:v>65.64</x:v>
      </x:c>
      <x:c r="H20" s="55" t="n">
        <x:v>65.63604668054815</x:v>
      </x:c>
      <x:c r="I20" s="55" t="n">
        <x:v>-0.003953319451852622</x:v>
      </x:c>
      <x:c r="J20" s="55" t="n">
        <x:v>-0.006022729207575597</x:v>
      </x:c>
      <x:c r="K20" s="55" t="str">
        <x:v>Aprovado</x:v>
      </x:c>
      <x:c r="L20" s="55" t="str">
        <x:v>Diferença esperada por arredondamento dos valores publicados.</x:v>
      </x:c>
      <x:c r="M20" s="55" t="str">
        <x:v>SMY/BMPth × 100</x:v>
      </x:c>
      <x:c r="N20" s="55" t="str">
        <x:v>mL CH4/g VS</x:v>
      </x:c>
    </x:row>
    <x:row r="21">
      <x:c r="A21" s="55" t="str">
        <x:v>B09</x:v>
      </x:c>
      <x:c r="B21" s="55" t="str">
        <x:v>Llanos-Lizcano et al. 2024</x:v>
      </x:c>
      <x:c r="C21" s="55" t="str">
        <x:v>Cardboard waste (CBW)</x:v>
      </x:c>
      <x:c r="D21" s="55" t="str">
        <x:v>ISR 1</x:v>
      </x:c>
      <x:c r="E21" s="55" t="n">
        <x:v>413.02</x:v>
      </x:c>
      <x:c r="F21" s="55" t="n">
        <x:v>250.25</x:v>
      </x:c>
      <x:c r="G21" s="55" t="n">
        <x:v>60.59</x:v>
      </x:c>
      <x:c r="H21" s="55" t="n">
        <x:v>60.59028618468839</x:v>
      </x:c>
      <x:c r="I21" s="55" t="n">
        <x:v>0.0002861846883845942</x:v>
      </x:c>
      <x:c r="J21" s="55" t="n">
        <x:v>0.000472329903258944</x:v>
      </x:c>
      <x:c r="K21" s="55" t="str">
        <x:v>Aprovado</x:v>
      </x:c>
      <x:c r="L21" s="55" t="str">
        <x:v>Diferença esperada por arredondamento dos valores publicados.</x:v>
      </x:c>
      <x:c r="M21" s="55" t="str">
        <x:v>SMY/BMPth × 100</x:v>
      </x:c>
      <x:c r="N21" s="55" t="str">
        <x:v>mL CH4/g VS</x:v>
      </x:c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58" t="str">
        <x:v>3. Validação metodológica e limites de interpretação</x:v>
      </x:c>
      <x:c r="B24" s="58" t="str"/>
      <x:c r="C24" s="58" t="str"/>
      <x:c r="D24" s="58" t="str"/>
      <x:c r="E24" s="58" t="str"/>
      <x:c r="F24" s="58" t="str"/>
      <x:c r="G24" s="58" t="str"/>
      <x:c r="H24" s="58" t="str"/>
      <x:c r="I24" s="58" t="str"/>
      <x:c r="J24" s="58" t="str"/>
      <x:c r="K24" s="58" t="str"/>
      <x:c r="L24" s="58" t="str"/>
      <x:c r="M24" s="58" t="str"/>
      <x:c r="N24" s="58" t="str"/>
    </x:row>
    <x:row r="25">
      <x:c r="A25" s="59" t="str">
        <x:v>ID</x:v>
      </x:c>
      <x:c r="B25" s="59" t="str">
        <x:v>Fonte</x:v>
      </x:c>
      <x:c r="C25" s="59" t="str">
        <x:v>Evidência usada</x:v>
      </x:c>
      <x:c r="D25" s="59" t="str">
        <x:v>Aplicação no BioPot-Gas</x:v>
      </x:c>
      <x:c r="E25" s="59" t="str">
        <x:v>Limitação registrada</x:v>
      </x:c>
      <x:c r="F25" s="20"/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56" t="str">
        <x:v>M01</x:v>
      </x:c>
      <x:c r="B26" s="56" t="str">
        <x:v>Nielfa et al. 2015</x:v>
      </x:c>
      <x:c r="C26" s="56" t="str">
        <x:v>O potencial teórico indica a produção máxima esperada e o experimental pode ser menor, especialmente para materiais lignocelulósicos.</x:v>
      </x:c>
      <x:c r="D26" s="56" t="str">
        <x:v>Justifica tratar o resultado como potencial teórico máximo, não como produção real garantida.</x:v>
      </x:c>
      <x:c r="E26" s="56" t="str">
        <x:v>Não usar como substituto direto de BMP experimental.</x:v>
      </x:c>
      <x:c r="F26" s="20"/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56" t="str">
        <x:v>M02</x:v>
      </x:c>
      <x:c r="B27" s="56" t="str">
        <x:v>Angelidaki et al. 2009</x:v>
      </x:c>
      <x:c r="C27" s="56" t="str">
        <x:v>Protocolos BMP exigem padronização de substrato, inoculo, unidades, condições e comparação de resultados.</x:v>
      </x:c>
      <x:c r="D27" s="56" t="str">
        <x:v>Justifica a necessidade de compatibilidade de base na aba de validação experimental.</x:v>
      </x:c>
      <x:c r="E27" s="56" t="str">
        <x:v>Comparações não são válidas quando unidades, base seca/VS/COD ou STP não coincidem.</x:v>
      </x:c>
      <x:c r="F27" s="20"/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56" t="str">
        <x:v>M03</x:v>
      </x:c>
      <x:c r="B28" s="56" t="str">
        <x:v>Zhang et al. 2021</x:v>
      </x:c>
      <x:c r="C28" s="56" t="str">
        <x:v>Valores de metano na literatura variam conforme método, substrato e forma de reporte.</x:v>
      </x:c>
      <x:c r="D28" s="56" t="str">
        <x:v>Justifica alertas e uso de benchmarks como faixas de referência.</x:v>
      </x:c>
      <x:c r="E28" s="56" t="str">
        <x:v>Não generalizar um valor único para todos os substratos.</x:v>
      </x:c>
      <x:c r="F28" s="20"/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58" t="str">
        <x:v>4. Resultado da validação interna</x:v>
      </x:c>
      <x:c r="B31" s="58" t="str"/>
      <x:c r="C31" s="58" t="str"/>
      <x:c r="D31" s="58" t="str"/>
      <x:c r="E31" s="58" t="str"/>
      <x:c r="F31" s="58" t="str"/>
      <x:c r="G31" s="58" t="str"/>
      <x:c r="H31" s="58" t="str"/>
      <x:c r="I31" s="58" t="str"/>
      <x:c r="J31" s="58" t="str"/>
      <x:c r="K31" s="58" t="str"/>
      <x:c r="L31" s="58" t="str"/>
      <x:c r="M31" s="58" t="str"/>
      <x:c r="N31" s="58" t="str"/>
    </x:row>
    <x:row r="32">
      <x:c r="A32" s="59" t="str">
        <x:v>Teste</x:v>
      </x:c>
      <x:c r="B32" s="59" t="str">
        <x:v>Resultado</x:v>
      </x:c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 t="str">
        <x:v>Equação de Buswell para compostos puros</x:v>
      </x:c>
      <x:c r="B33" s="55" t="str">
        <x:v>Aprovado</x:v>
      </x:c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 t="str">
        <x:v>Conversão molar para volume normalizado</x:v>
      </x:c>
      <x:c r="B34" s="55" t="str">
        <x:v>Aprovado</x:v>
      </x:c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 t="str">
        <x:v>Conversão energética por PCI do CH4</x:v>
      </x:c>
      <x:c r="B35" s="55" t="str">
        <x:v>Aprovado</x:v>
      </x:c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 t="str">
        <x:v>Cálculo de biodegradabilidade experimental</x:v>
      </x:c>
      <x:c r="B36" s="55" t="str">
        <x:v>Aprovado</x:v>
      </x:c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 t="str">
        <x:v>Alerta para eficiência experimental acima de 100%</x:v>
      </x:c>
      <x:c r="B37" s="55" t="str">
        <x:v>Aprovado</x:v>
      </x:c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</x:row>
  </x:sheetData>
  <x:mergeCells>
    <x:mergeCell ref="A1:N1"/>
    <x:mergeCell ref="A8:N8"/>
    <x:mergeCell ref="A12:N12"/>
    <x:mergeCell ref="A24:N24"/>
    <x:mergeCell ref="A31:N31"/>
  </x:mergeCells>
  <x:pageMargins left="0.7" right="0.7" top="0.75" bottom="0.75" header="0.3" footer="0.3"/>
</x:worksheet>
</file>